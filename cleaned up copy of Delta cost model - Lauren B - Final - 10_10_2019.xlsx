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mc:AlternateContent xmlns:mc="http://schemas.openxmlformats.org/markup-compatibility/2006">
    <mc:Choice Requires="x15">
      <x15ac:absPath xmlns:x15ac="http://schemas.microsoft.com/office/spreadsheetml/2010/11/ac" url="C:\Users\JS\Desktop\"/>
    </mc:Choice>
  </mc:AlternateContent>
  <xr:revisionPtr revIDLastSave="0" documentId="8_{382793DA-31C2-466B-89B0-9975FA8BE9A8}" xr6:coauthVersionLast="47" xr6:coauthVersionMax="47" xr10:uidLastSave="{00000000-0000-0000-0000-000000000000}"/>
  <bookViews>
    <workbookView xWindow="-120" yWindow="-120" windowWidth="29040" windowHeight="15720" xr2:uid="{00000000-000D-0000-FFFF-FFFF00000000}"/>
  </bookViews>
  <sheets>
    <sheet name="Ats Slide" sheetId="25" r:id="rId1"/>
    <sheet name="Financial model" sheetId="21" r:id="rId2"/>
    <sheet name="Recoverable units" sheetId="24" r:id="rId3"/>
    <sheet name="Stamp duty" sheetId="22" r:id="rId4"/>
    <sheet name="2) SW Eng" sheetId="2" r:id="rId5"/>
    <sheet name="4) Accounting" sheetId="7" r:id="rId6"/>
    <sheet name="8) Facilities" sheetId="11" r:id="rId7"/>
    <sheet name="11) IT-Infrastructure" sheetId="14" r:id="rId8"/>
    <sheet name="13) IT- Security" sheetId="15" r:id="rId9"/>
    <sheet name="12) IT- Apps" sheetId="16" r:id="rId10"/>
    <sheet name="14) Operations" sheetId="17" r:id="rId11"/>
    <sheet name="Summary cost inputs" sheetId="1" r:id="rId12"/>
    <sheet name="I. TECH" sheetId="3" r:id="rId13"/>
    <sheet name="II NON-TECH" sheetId="4" r:id="rId14"/>
    <sheet name="1) ProductUX" sheetId="5" state="hidden" r:id="rId15"/>
    <sheet name="3) HW Eng" sheetId="6" state="hidden" r:id="rId16"/>
    <sheet name="5) Tax &amp; Treasury" sheetId="8" state="hidden" r:id="rId17"/>
    <sheet name="6) Legal" sheetId="9" state="hidden" r:id="rId18"/>
    <sheet name="7) HR" sheetId="10" state="hidden" r:id="rId19"/>
    <sheet name="9) Marketing" sheetId="12" state="hidden" r:id="rId20"/>
    <sheet name="10) Int'l S&amp;M" sheetId="13" state="hidden" r:id="rId21"/>
    <sheet name="Sheet2" sheetId="18" state="hidden" r:id="rId22"/>
  </sheets>
  <externalReferences>
    <externalReference r:id="rId23"/>
  </externalReferenc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L106" i="25" l="1"/>
  <c r="L111" i="25"/>
  <c r="B18" i="25" l="1"/>
  <c r="B17" i="25"/>
  <c r="U87" i="25" l="1"/>
  <c r="K87" i="25"/>
  <c r="K103" i="25" s="1"/>
  <c r="K106" i="25" s="1"/>
  <c r="J87" i="25"/>
  <c r="J103" i="25" s="1"/>
  <c r="J106" i="25" s="1"/>
  <c r="I87" i="25"/>
  <c r="I103" i="25" s="1"/>
  <c r="I106" i="25" s="1"/>
  <c r="H87" i="25"/>
  <c r="H103" i="25" s="1"/>
  <c r="H106" i="25" s="1"/>
  <c r="F87" i="25"/>
  <c r="F103" i="25" s="1"/>
  <c r="E87" i="25"/>
  <c r="E103" i="25" s="1"/>
  <c r="P47" i="25"/>
  <c r="P87" i="25" s="1"/>
  <c r="M47" i="25"/>
  <c r="R47" i="25" s="1"/>
  <c r="R87" i="25" s="1"/>
  <c r="L47" i="25"/>
  <c r="L87" i="25" s="1"/>
  <c r="L103" i="25" s="1"/>
  <c r="G47" i="25"/>
  <c r="G87" i="25" s="1"/>
  <c r="I112" i="25" l="1"/>
  <c r="M87" i="25"/>
  <c r="S47" i="25"/>
  <c r="S87" i="25" s="1"/>
  <c r="N47" i="25"/>
  <c r="W25" i="25"/>
  <c r="U25" i="25"/>
  <c r="T25" i="25"/>
  <c r="S25" i="25"/>
  <c r="R25" i="25"/>
  <c r="V25" i="25" s="1"/>
  <c r="P25" i="25"/>
  <c r="O25" i="25"/>
  <c r="N25" i="25"/>
  <c r="M25" i="25"/>
  <c r="Q25" i="25" s="1"/>
  <c r="W24" i="25"/>
  <c r="U24" i="25"/>
  <c r="T24" i="25"/>
  <c r="S24" i="25"/>
  <c r="R24" i="25"/>
  <c r="V24" i="25" s="1"/>
  <c r="P24" i="25"/>
  <c r="O24" i="25"/>
  <c r="N24" i="25"/>
  <c r="M24" i="25"/>
  <c r="Q24" i="25" s="1"/>
  <c r="U21" i="25"/>
  <c r="T21" i="25"/>
  <c r="S21" i="25"/>
  <c r="R21" i="25"/>
  <c r="V21" i="25" s="1"/>
  <c r="P21" i="25"/>
  <c r="O21" i="25"/>
  <c r="N21" i="25"/>
  <c r="M21" i="25"/>
  <c r="Q21" i="25" s="1"/>
  <c r="U20" i="25"/>
  <c r="T20" i="25"/>
  <c r="S20" i="25"/>
  <c r="R20" i="25"/>
  <c r="V20" i="25" s="1"/>
  <c r="P20" i="25"/>
  <c r="O20" i="25"/>
  <c r="N20" i="25"/>
  <c r="M20" i="25"/>
  <c r="Q20" i="25" s="1"/>
  <c r="W23" i="25"/>
  <c r="U23" i="25"/>
  <c r="T23" i="25"/>
  <c r="S23" i="25"/>
  <c r="R23" i="25"/>
  <c r="V23" i="25" s="1"/>
  <c r="P23" i="25"/>
  <c r="O23" i="25"/>
  <c r="N23" i="25"/>
  <c r="M23" i="25"/>
  <c r="Q23" i="25" s="1"/>
  <c r="L31" i="17"/>
  <c r="V127" i="25"/>
  <c r="Q127" i="25"/>
  <c r="F127" i="25"/>
  <c r="G127" i="25" s="1"/>
  <c r="G126" i="25"/>
  <c r="W126" i="25" s="1"/>
  <c r="F125" i="25"/>
  <c r="G125" i="25" s="1"/>
  <c r="W125" i="25" s="1"/>
  <c r="F124" i="25"/>
  <c r="G124" i="25" s="1"/>
  <c r="W124" i="25" s="1"/>
  <c r="G123" i="25"/>
  <c r="W123" i="25" s="1"/>
  <c r="G122" i="25"/>
  <c r="W122" i="25" s="1"/>
  <c r="F118" i="25"/>
  <c r="G118" i="25" s="1"/>
  <c r="V110" i="25"/>
  <c r="Q110" i="25"/>
  <c r="L110" i="25"/>
  <c r="K109" i="25"/>
  <c r="J109" i="25"/>
  <c r="I109" i="25"/>
  <c r="H109" i="25"/>
  <c r="E109" i="25"/>
  <c r="V108" i="25"/>
  <c r="U108" i="25"/>
  <c r="T108" i="25"/>
  <c r="S108" i="25"/>
  <c r="R108" i="25"/>
  <c r="Q108" i="25"/>
  <c r="P108" i="25"/>
  <c r="O108" i="25"/>
  <c r="N108" i="25"/>
  <c r="M108" i="25"/>
  <c r="L108" i="25"/>
  <c r="K108" i="25"/>
  <c r="K111" i="25" s="1"/>
  <c r="K112" i="25" s="1"/>
  <c r="J108" i="25"/>
  <c r="J111" i="25" s="1"/>
  <c r="J112" i="25" s="1"/>
  <c r="I108" i="25"/>
  <c r="I111" i="25" s="1"/>
  <c r="H108" i="25"/>
  <c r="E108" i="25"/>
  <c r="E111" i="25" s="1"/>
  <c r="U106" i="25"/>
  <c r="T106" i="25"/>
  <c r="S106" i="25"/>
  <c r="R106" i="25"/>
  <c r="P106" i="25"/>
  <c r="O106" i="25"/>
  <c r="N106" i="25"/>
  <c r="M106" i="25"/>
  <c r="V104" i="25"/>
  <c r="V106" i="25" s="1"/>
  <c r="Q104" i="25"/>
  <c r="Q106" i="25" s="1"/>
  <c r="L104" i="25"/>
  <c r="F104" i="25"/>
  <c r="F106" i="25" s="1"/>
  <c r="W101" i="25"/>
  <c r="F96" i="25"/>
  <c r="F25" i="25" s="1"/>
  <c r="E96" i="25"/>
  <c r="U95" i="25"/>
  <c r="T95" i="25"/>
  <c r="R95" i="25"/>
  <c r="P95" i="25"/>
  <c r="O95" i="25"/>
  <c r="M95" i="25"/>
  <c r="K95" i="25"/>
  <c r="K24" i="25" s="1"/>
  <c r="J95" i="25"/>
  <c r="J24" i="25" s="1"/>
  <c r="I95" i="25"/>
  <c r="I24" i="25" s="1"/>
  <c r="H95" i="25"/>
  <c r="H24" i="25" s="1"/>
  <c r="F95" i="25"/>
  <c r="F24" i="25" s="1"/>
  <c r="E95" i="25"/>
  <c r="U94" i="25"/>
  <c r="T94" i="25"/>
  <c r="S94" i="25"/>
  <c r="R94" i="25"/>
  <c r="P94" i="25"/>
  <c r="O94" i="25"/>
  <c r="N94" i="25"/>
  <c r="M94" i="25"/>
  <c r="K94" i="25"/>
  <c r="J94" i="25"/>
  <c r="E93" i="25"/>
  <c r="U92" i="25"/>
  <c r="T92" i="25"/>
  <c r="S92" i="25"/>
  <c r="R92" i="25"/>
  <c r="P92" i="25"/>
  <c r="O92" i="25"/>
  <c r="N92" i="25"/>
  <c r="M92" i="25"/>
  <c r="K92" i="25"/>
  <c r="J92" i="25"/>
  <c r="I92" i="25"/>
  <c r="H92" i="25"/>
  <c r="F92" i="25"/>
  <c r="E92" i="25"/>
  <c r="U91" i="25"/>
  <c r="T91" i="25"/>
  <c r="S91" i="25"/>
  <c r="R91" i="25"/>
  <c r="P91" i="25"/>
  <c r="O91" i="25"/>
  <c r="N91" i="25"/>
  <c r="M91" i="25"/>
  <c r="K91" i="25"/>
  <c r="J91" i="25"/>
  <c r="I91" i="25"/>
  <c r="H91" i="25"/>
  <c r="E91" i="25"/>
  <c r="E90" i="25"/>
  <c r="K89" i="25"/>
  <c r="J89" i="25"/>
  <c r="I89" i="25"/>
  <c r="H89" i="25"/>
  <c r="E89" i="25"/>
  <c r="K88" i="25"/>
  <c r="J88" i="25"/>
  <c r="I88" i="25"/>
  <c r="H88" i="25"/>
  <c r="F88" i="25"/>
  <c r="E86" i="25"/>
  <c r="E85" i="25"/>
  <c r="U83" i="25"/>
  <c r="T83" i="25"/>
  <c r="S83" i="25"/>
  <c r="R83" i="25"/>
  <c r="P83" i="25"/>
  <c r="O83" i="25"/>
  <c r="N83" i="25"/>
  <c r="M83" i="25"/>
  <c r="K83" i="25"/>
  <c r="I83" i="25"/>
  <c r="E83" i="25"/>
  <c r="U81" i="25"/>
  <c r="E81" i="25"/>
  <c r="E80" i="25"/>
  <c r="E79" i="25"/>
  <c r="E78" i="25"/>
  <c r="W73" i="25"/>
  <c r="G71" i="25"/>
  <c r="G70" i="25"/>
  <c r="E69" i="25"/>
  <c r="V68" i="25"/>
  <c r="Q68" i="25"/>
  <c r="G66" i="25"/>
  <c r="H66" i="25" s="1"/>
  <c r="I66" i="25" s="1"/>
  <c r="J66" i="25" s="1"/>
  <c r="K66" i="25" s="1"/>
  <c r="L66" i="25" s="1"/>
  <c r="M66" i="25" s="1"/>
  <c r="N66" i="25" s="1"/>
  <c r="O66" i="25" s="1"/>
  <c r="P66" i="25" s="1"/>
  <c r="Q66" i="25" s="1"/>
  <c r="R66" i="25" s="1"/>
  <c r="S66" i="25" s="1"/>
  <c r="T66" i="25" s="1"/>
  <c r="U66" i="25" s="1"/>
  <c r="V66" i="25" s="1"/>
  <c r="H64" i="25"/>
  <c r="I64" i="25" s="1"/>
  <c r="J64" i="25" s="1"/>
  <c r="K64" i="25" s="1"/>
  <c r="M64" i="25" s="1"/>
  <c r="K63" i="25"/>
  <c r="M63" i="25" s="1"/>
  <c r="J63" i="25"/>
  <c r="I63" i="25"/>
  <c r="H63" i="25"/>
  <c r="F63" i="25"/>
  <c r="F65" i="25" s="1"/>
  <c r="G65" i="25" s="1"/>
  <c r="H57" i="25"/>
  <c r="H96" i="25" s="1"/>
  <c r="H25" i="25" s="1"/>
  <c r="G57" i="25"/>
  <c r="G96" i="25" s="1"/>
  <c r="G25" i="25" s="1"/>
  <c r="S56" i="25"/>
  <c r="V56" i="25" s="1"/>
  <c r="N56" i="25"/>
  <c r="Q56" i="25" s="1"/>
  <c r="L56" i="25"/>
  <c r="F56" i="25"/>
  <c r="G56" i="25" s="1"/>
  <c r="S55" i="25"/>
  <c r="S95" i="25" s="1"/>
  <c r="N55" i="25"/>
  <c r="N95" i="25" s="1"/>
  <c r="L55" i="25"/>
  <c r="G55" i="25"/>
  <c r="G95" i="25" s="1"/>
  <c r="G24" i="25" s="1"/>
  <c r="V54" i="25"/>
  <c r="V94" i="25" s="1"/>
  <c r="Q54" i="25"/>
  <c r="Q94" i="25" s="1"/>
  <c r="V52" i="25"/>
  <c r="Q52" i="25"/>
  <c r="L52" i="25"/>
  <c r="G52" i="25"/>
  <c r="G92" i="25" s="1"/>
  <c r="V51" i="25"/>
  <c r="Q51" i="25"/>
  <c r="L51" i="25"/>
  <c r="F51" i="25"/>
  <c r="K50" i="25"/>
  <c r="K90" i="25" s="1"/>
  <c r="K22" i="25" s="1"/>
  <c r="M22" i="25" s="1"/>
  <c r="P22" i="25" s="1"/>
  <c r="J50" i="25"/>
  <c r="J90" i="25" s="1"/>
  <c r="J22" i="25" s="1"/>
  <c r="I50" i="25"/>
  <c r="I90" i="25" s="1"/>
  <c r="I22" i="25" s="1"/>
  <c r="H50" i="25"/>
  <c r="H90" i="25" s="1"/>
  <c r="H22" i="25" s="1"/>
  <c r="F50" i="25"/>
  <c r="F90" i="25" s="1"/>
  <c r="F22" i="25" s="1"/>
  <c r="M49" i="25"/>
  <c r="P49" i="25" s="1"/>
  <c r="L49" i="25"/>
  <c r="L109" i="25" s="1"/>
  <c r="M48" i="25"/>
  <c r="M88" i="25" s="1"/>
  <c r="L48" i="25"/>
  <c r="L88" i="25" s="1"/>
  <c r="F44" i="25"/>
  <c r="H44" i="25" s="1"/>
  <c r="V42" i="25"/>
  <c r="N42" i="25"/>
  <c r="L42" i="25"/>
  <c r="G42" i="25"/>
  <c r="N41" i="25"/>
  <c r="N81" i="25" s="1"/>
  <c r="F41" i="25"/>
  <c r="H41" i="25" s="1"/>
  <c r="G39" i="25"/>
  <c r="H39" i="25" s="1"/>
  <c r="I39" i="25" s="1"/>
  <c r="J39" i="25" s="1"/>
  <c r="K39" i="25" s="1"/>
  <c r="L39" i="25" s="1"/>
  <c r="M39" i="25" s="1"/>
  <c r="N39" i="25" s="1"/>
  <c r="O39" i="25" s="1"/>
  <c r="P39" i="25" s="1"/>
  <c r="Q39" i="25" s="1"/>
  <c r="R39" i="25" s="1"/>
  <c r="S39" i="25" s="1"/>
  <c r="T39" i="25" s="1"/>
  <c r="U39" i="25" s="1"/>
  <c r="V39" i="25" s="1"/>
  <c r="F38" i="25"/>
  <c r="W37" i="25"/>
  <c r="R37" i="25"/>
  <c r="F36" i="25"/>
  <c r="R35" i="25"/>
  <c r="F30" i="25"/>
  <c r="R13" i="25"/>
  <c r="Q13" i="25"/>
  <c r="L13" i="25"/>
  <c r="G13" i="25"/>
  <c r="F12" i="25"/>
  <c r="F45" i="25" l="1"/>
  <c r="F85" i="25" s="1"/>
  <c r="F20" i="25" s="1"/>
  <c r="H111" i="25"/>
  <c r="H112" i="25" s="1"/>
  <c r="L112" i="25" s="1"/>
  <c r="R70" i="25"/>
  <c r="O47" i="25"/>
  <c r="N87" i="25"/>
  <c r="G36" i="25"/>
  <c r="E82" i="25"/>
  <c r="E72" i="25"/>
  <c r="I65" i="25"/>
  <c r="I67" i="25" s="1"/>
  <c r="I69" i="25" s="1"/>
  <c r="T47" i="25"/>
  <c r="M65" i="25"/>
  <c r="M67" i="25" s="1"/>
  <c r="O41" i="25"/>
  <c r="O81" i="25" s="1"/>
  <c r="W56" i="25"/>
  <c r="W127" i="25"/>
  <c r="N22" i="25"/>
  <c r="O22" i="25" s="1"/>
  <c r="R22" i="25"/>
  <c r="F79" i="25"/>
  <c r="H36" i="25"/>
  <c r="G38" i="25"/>
  <c r="G79" i="25" s="1"/>
  <c r="G41" i="25"/>
  <c r="G12" i="25"/>
  <c r="G14" i="25" s="1"/>
  <c r="H38" i="25"/>
  <c r="M38" i="25" s="1"/>
  <c r="Q83" i="25"/>
  <c r="V83" i="25"/>
  <c r="L89" i="25"/>
  <c r="F128" i="25"/>
  <c r="G128" i="25" s="1"/>
  <c r="W128" i="25" s="1"/>
  <c r="L90" i="25"/>
  <c r="L22" i="25" s="1"/>
  <c r="I57" i="25"/>
  <c r="I96" i="25" s="1"/>
  <c r="I25" i="25" s="1"/>
  <c r="L92" i="25"/>
  <c r="Q92" i="25"/>
  <c r="V92" i="25"/>
  <c r="N48" i="25"/>
  <c r="N88" i="25" s="1"/>
  <c r="L95" i="25"/>
  <c r="L24" i="25" s="1"/>
  <c r="P48" i="25"/>
  <c r="P88" i="25" s="1"/>
  <c r="L91" i="25"/>
  <c r="Q91" i="25"/>
  <c r="V91" i="25"/>
  <c r="R48" i="25"/>
  <c r="R88" i="25" s="1"/>
  <c r="F107" i="25"/>
  <c r="F74" i="25"/>
  <c r="G74" i="25" s="1"/>
  <c r="W74" i="25" s="1"/>
  <c r="N64" i="25"/>
  <c r="O64" i="25" s="1"/>
  <c r="P64" i="25" s="1"/>
  <c r="R64" i="25"/>
  <c r="S64" i="25" s="1"/>
  <c r="T64" i="25" s="1"/>
  <c r="U64" i="25" s="1"/>
  <c r="F14" i="25"/>
  <c r="I41" i="25"/>
  <c r="M44" i="25"/>
  <c r="I44" i="25"/>
  <c r="J65" i="25"/>
  <c r="J67" i="25" s="1"/>
  <c r="W66" i="25"/>
  <c r="P109" i="25"/>
  <c r="P111" i="25" s="1"/>
  <c r="P112" i="25" s="1"/>
  <c r="P89" i="25"/>
  <c r="S13" i="25"/>
  <c r="G30" i="25"/>
  <c r="W30" i="25" s="1"/>
  <c r="F78" i="25"/>
  <c r="F40" i="25"/>
  <c r="K65" i="25"/>
  <c r="K67" i="25" s="1"/>
  <c r="W39" i="25"/>
  <c r="W52" i="25"/>
  <c r="W92" i="25" s="1"/>
  <c r="H68" i="25"/>
  <c r="H81" i="25" s="1"/>
  <c r="L63" i="25"/>
  <c r="F67" i="25"/>
  <c r="G67" i="25" s="1"/>
  <c r="M109" i="25"/>
  <c r="M111" i="25" s="1"/>
  <c r="M112" i="25" s="1"/>
  <c r="M113" i="25" s="1"/>
  <c r="M89" i="25"/>
  <c r="G50" i="25"/>
  <c r="V55" i="25"/>
  <c r="M57" i="25"/>
  <c r="N70" i="25"/>
  <c r="J70" i="25"/>
  <c r="M70" i="25"/>
  <c r="I70" i="25"/>
  <c r="P70" i="25"/>
  <c r="H70" i="25"/>
  <c r="O70" i="25"/>
  <c r="K70" i="25"/>
  <c r="N49" i="25"/>
  <c r="R49" i="25"/>
  <c r="L50" i="25"/>
  <c r="F110" i="25"/>
  <c r="G110" i="25" s="1"/>
  <c r="W110" i="25" s="1"/>
  <c r="F91" i="25"/>
  <c r="J57" i="25"/>
  <c r="F68" i="25"/>
  <c r="F81" i="25" s="1"/>
  <c r="J68" i="25"/>
  <c r="J83" i="25" s="1"/>
  <c r="N63" i="25"/>
  <c r="R41" i="25"/>
  <c r="O42" i="25"/>
  <c r="G44" i="25"/>
  <c r="M50" i="25"/>
  <c r="G51" i="25"/>
  <c r="Q55" i="25"/>
  <c r="W55" i="25" s="1"/>
  <c r="W95" i="25" s="1"/>
  <c r="G63" i="25"/>
  <c r="H65" i="25"/>
  <c r="V95" i="25"/>
  <c r="H118" i="25"/>
  <c r="Q95" i="25"/>
  <c r="E84" i="25"/>
  <c r="G104" i="25"/>
  <c r="I40" i="2"/>
  <c r="I38" i="2"/>
  <c r="I37" i="2"/>
  <c r="I36" i="2"/>
  <c r="G45" i="25" l="1"/>
  <c r="I38" i="25"/>
  <c r="J38" i="25" s="1"/>
  <c r="V47" i="25"/>
  <c r="T87" i="25"/>
  <c r="O87" i="25"/>
  <c r="Q47" i="25"/>
  <c r="Q87" i="25" s="1"/>
  <c r="P41" i="25"/>
  <c r="P81" i="25" s="1"/>
  <c r="M36" i="25"/>
  <c r="R36" i="25" s="1"/>
  <c r="S36" i="25" s="1"/>
  <c r="I36" i="25"/>
  <c r="I78" i="25" s="1"/>
  <c r="F132" i="25"/>
  <c r="H113" i="25"/>
  <c r="K113" i="25"/>
  <c r="J113" i="25"/>
  <c r="L113" i="25"/>
  <c r="I113" i="25"/>
  <c r="N57" i="25"/>
  <c r="S57" i="25" s="1"/>
  <c r="S96" i="25" s="1"/>
  <c r="O48" i="25"/>
  <c r="O88" i="25" s="1"/>
  <c r="K57" i="25"/>
  <c r="L57" i="25" s="1"/>
  <c r="G85" i="25"/>
  <c r="G20" i="25" s="1"/>
  <c r="K69" i="25"/>
  <c r="K18" i="25" s="1"/>
  <c r="S22" i="25"/>
  <c r="Q22" i="25"/>
  <c r="H40" i="25"/>
  <c r="H43" i="25" s="1"/>
  <c r="H17" i="25" s="1"/>
  <c r="H78" i="25"/>
  <c r="P113" i="25"/>
  <c r="H12" i="25"/>
  <c r="H14" i="25" s="1"/>
  <c r="L65" i="25"/>
  <c r="S48" i="25"/>
  <c r="S88" i="25" s="1"/>
  <c r="L70" i="25"/>
  <c r="H67" i="25"/>
  <c r="L67" i="25" s="1"/>
  <c r="J69" i="25"/>
  <c r="J18" i="25" s="1"/>
  <c r="I18" i="25"/>
  <c r="I82" i="25"/>
  <c r="M90" i="25"/>
  <c r="P50" i="25"/>
  <c r="P90" i="25" s="1"/>
  <c r="R50" i="25"/>
  <c r="N50" i="25"/>
  <c r="R81" i="25"/>
  <c r="S41" i="25"/>
  <c r="O63" i="25"/>
  <c r="N65" i="25"/>
  <c r="N67" i="25" s="1"/>
  <c r="F69" i="25"/>
  <c r="F18" i="25" s="1"/>
  <c r="S70" i="25"/>
  <c r="T13" i="25"/>
  <c r="I81" i="25"/>
  <c r="J41" i="25"/>
  <c r="H79" i="25"/>
  <c r="R118" i="25"/>
  <c r="M118" i="25"/>
  <c r="I118" i="25"/>
  <c r="J118" i="25" s="1"/>
  <c r="K118" i="25" s="1"/>
  <c r="R109" i="25"/>
  <c r="R111" i="25" s="1"/>
  <c r="R112" i="25" s="1"/>
  <c r="R113" i="25" s="1"/>
  <c r="R89" i="25"/>
  <c r="S49" i="25"/>
  <c r="M96" i="25"/>
  <c r="R57" i="25"/>
  <c r="G90" i="25"/>
  <c r="G22" i="25" s="1"/>
  <c r="F43" i="25"/>
  <c r="F17" i="25" s="1"/>
  <c r="N44" i="25"/>
  <c r="S44" i="25" s="1"/>
  <c r="J44" i="25"/>
  <c r="W104" i="25"/>
  <c r="P42" i="25"/>
  <c r="J96" i="25"/>
  <c r="O57" i="25"/>
  <c r="N109" i="25"/>
  <c r="N111" i="25" s="1"/>
  <c r="N112" i="25" s="1"/>
  <c r="N113" i="25" s="1"/>
  <c r="N89" i="25"/>
  <c r="O49" i="25"/>
  <c r="Q70" i="25"/>
  <c r="F80" i="25"/>
  <c r="G40" i="25"/>
  <c r="R44" i="25"/>
  <c r="G107" i="25"/>
  <c r="G91" i="25"/>
  <c r="W51" i="25"/>
  <c r="W91" i="25" s="1"/>
  <c r="G68" i="25"/>
  <c r="F83" i="25"/>
  <c r="G83" i="25" s="1"/>
  <c r="M69" i="25"/>
  <c r="H83" i="25"/>
  <c r="L83" i="25" s="1"/>
  <c r="L68" i="25"/>
  <c r="M79" i="25"/>
  <c r="R38" i="25"/>
  <c r="N38" i="25"/>
  <c r="G78" i="25"/>
  <c r="G132" i="25" s="1"/>
  <c r="F113" i="21"/>
  <c r="F112" i="21"/>
  <c r="E12" i="24"/>
  <c r="F41" i="21"/>
  <c r="E15" i="24"/>
  <c r="E16" i="24" s="1"/>
  <c r="E20" i="24" s="1"/>
  <c r="I79" i="25" l="1"/>
  <c r="P57" i="25"/>
  <c r="Q57" i="25" s="1"/>
  <c r="J36" i="25"/>
  <c r="K36" i="25" s="1"/>
  <c r="K82" i="25"/>
  <c r="I40" i="25"/>
  <c r="I80" i="25" s="1"/>
  <c r="K96" i="25"/>
  <c r="K25" i="25" s="1"/>
  <c r="M40" i="25"/>
  <c r="M80" i="25" s="1"/>
  <c r="W47" i="25"/>
  <c r="W87" i="25" s="1"/>
  <c r="V87" i="25"/>
  <c r="M78" i="25"/>
  <c r="N36" i="25"/>
  <c r="H69" i="25"/>
  <c r="H19" i="25" s="1"/>
  <c r="H131" i="25" s="1"/>
  <c r="N96" i="25"/>
  <c r="H132" i="25"/>
  <c r="F84" i="25"/>
  <c r="J82" i="25"/>
  <c r="U48" i="25"/>
  <c r="U88" i="25" s="1"/>
  <c r="T48" i="25"/>
  <c r="T88" i="25" s="1"/>
  <c r="Q48" i="25"/>
  <c r="Q88" i="25" s="1"/>
  <c r="J25" i="25"/>
  <c r="I12" i="25"/>
  <c r="I14" i="25" s="1"/>
  <c r="H45" i="25"/>
  <c r="U22" i="25"/>
  <c r="T22" i="25"/>
  <c r="L69" i="25"/>
  <c r="L18" i="25" s="1"/>
  <c r="H80" i="25"/>
  <c r="S38" i="25"/>
  <c r="S40" i="25" s="1"/>
  <c r="R40" i="25"/>
  <c r="R43" i="25" s="1"/>
  <c r="W107" i="25"/>
  <c r="F19" i="25"/>
  <c r="F131" i="25" s="1"/>
  <c r="G43" i="25"/>
  <c r="S109" i="25"/>
  <c r="S111" i="25" s="1"/>
  <c r="S112" i="25" s="1"/>
  <c r="S113" i="25" s="1"/>
  <c r="S89" i="25"/>
  <c r="U49" i="25"/>
  <c r="T49" i="25"/>
  <c r="L118" i="25"/>
  <c r="J81" i="25"/>
  <c r="K41" i="25"/>
  <c r="L41" i="25" s="1"/>
  <c r="S81" i="25"/>
  <c r="T41" i="25"/>
  <c r="T81" i="25" s="1"/>
  <c r="N90" i="25"/>
  <c r="O50" i="25"/>
  <c r="O90" i="25" s="1"/>
  <c r="W83" i="25"/>
  <c r="T36" i="25"/>
  <c r="G80" i="25"/>
  <c r="O96" i="25"/>
  <c r="T57" i="25"/>
  <c r="T96" i="25" s="1"/>
  <c r="R96" i="25"/>
  <c r="R90" i="25"/>
  <c r="S50" i="25"/>
  <c r="W68" i="25"/>
  <c r="G81" i="25"/>
  <c r="O109" i="25"/>
  <c r="O111" i="25" s="1"/>
  <c r="O112" i="25" s="1"/>
  <c r="O113" i="25" s="1"/>
  <c r="O89" i="25"/>
  <c r="Q89" i="25" s="1"/>
  <c r="O44" i="25"/>
  <c r="K44" i="25"/>
  <c r="P44" i="25" s="1"/>
  <c r="U44" i="25" s="1"/>
  <c r="N118" i="25"/>
  <c r="O118" i="25" s="1"/>
  <c r="P118" i="25" s="1"/>
  <c r="T70" i="25"/>
  <c r="U13" i="25"/>
  <c r="O65" i="25"/>
  <c r="O67" i="25" s="1"/>
  <c r="P63" i="25"/>
  <c r="Q42" i="25"/>
  <c r="N79" i="25"/>
  <c r="O38" i="25"/>
  <c r="M18" i="25"/>
  <c r="M82" i="25"/>
  <c r="G69" i="25"/>
  <c r="J79" i="25"/>
  <c r="K38" i="25"/>
  <c r="Q49" i="25"/>
  <c r="S118" i="25"/>
  <c r="T118" i="25" s="1"/>
  <c r="F72" i="25"/>
  <c r="F82" i="25"/>
  <c r="N69" i="25"/>
  <c r="H91" i="21"/>
  <c r="I91" i="21"/>
  <c r="J91" i="21"/>
  <c r="K91" i="21"/>
  <c r="L91" i="21"/>
  <c r="M91" i="21"/>
  <c r="N91" i="21"/>
  <c r="O91" i="21"/>
  <c r="P91" i="21"/>
  <c r="Q91" i="21"/>
  <c r="R91" i="21"/>
  <c r="S91" i="21"/>
  <c r="T91" i="21"/>
  <c r="U91" i="21"/>
  <c r="V91" i="21"/>
  <c r="E91" i="21"/>
  <c r="F20" i="24"/>
  <c r="G20" i="24"/>
  <c r="H20" i="24"/>
  <c r="I20" i="24"/>
  <c r="J20" i="24"/>
  <c r="K20" i="24"/>
  <c r="G110" i="21"/>
  <c r="W110" i="21" s="1"/>
  <c r="G111" i="21"/>
  <c r="W111" i="21" s="1"/>
  <c r="G112" i="21"/>
  <c r="W112" i="21" s="1"/>
  <c r="G113" i="21"/>
  <c r="W113" i="21" s="1"/>
  <c r="G114" i="21"/>
  <c r="W114" i="21" s="1"/>
  <c r="F115" i="21"/>
  <c r="G115" i="21" s="1"/>
  <c r="Q115" i="21"/>
  <c r="V115" i="21"/>
  <c r="E66" i="21"/>
  <c r="U66" i="21"/>
  <c r="E68" i="21"/>
  <c r="I68" i="21"/>
  <c r="K68" i="21"/>
  <c r="M68" i="21"/>
  <c r="N68" i="21"/>
  <c r="O68" i="21"/>
  <c r="P68" i="21"/>
  <c r="R68" i="21"/>
  <c r="S68" i="21"/>
  <c r="T68" i="21"/>
  <c r="U68" i="21"/>
  <c r="P96" i="25" l="1"/>
  <c r="Q96" i="25" s="1"/>
  <c r="U57" i="25"/>
  <c r="U96" i="25" s="1"/>
  <c r="J40" i="25"/>
  <c r="J80" i="25" s="1"/>
  <c r="J78" i="25"/>
  <c r="L96" i="25"/>
  <c r="L25" i="25" s="1"/>
  <c r="N40" i="25"/>
  <c r="N43" i="25" s="1"/>
  <c r="N19" i="25" s="1"/>
  <c r="I43" i="25"/>
  <c r="I84" i="25" s="1"/>
  <c r="J12" i="25"/>
  <c r="J14" i="25" s="1"/>
  <c r="F31" i="25"/>
  <c r="F17" i="21"/>
  <c r="H82" i="25"/>
  <c r="H18" i="25"/>
  <c r="H84" i="25"/>
  <c r="V48" i="25"/>
  <c r="V88" i="25" s="1"/>
  <c r="H85" i="25"/>
  <c r="H20" i="25" s="1"/>
  <c r="N78" i="25"/>
  <c r="O36" i="25"/>
  <c r="I132" i="25"/>
  <c r="I45" i="25"/>
  <c r="L82" i="25"/>
  <c r="V41" i="25"/>
  <c r="V81" i="25" s="1"/>
  <c r="V22" i="25"/>
  <c r="W22" i="25" s="1"/>
  <c r="Q50" i="25"/>
  <c r="O69" i="25"/>
  <c r="O82" i="25" s="1"/>
  <c r="Q90" i="25"/>
  <c r="R17" i="25"/>
  <c r="L81" i="25"/>
  <c r="G18" i="25"/>
  <c r="G72" i="25"/>
  <c r="G82" i="25"/>
  <c r="Q109" i="25"/>
  <c r="K79" i="25"/>
  <c r="L38" i="25"/>
  <c r="T44" i="25"/>
  <c r="V44" i="25" s="1"/>
  <c r="Q44" i="25"/>
  <c r="O79" i="25"/>
  <c r="P38" i="25"/>
  <c r="Q38" i="25" s="1"/>
  <c r="W42" i="25"/>
  <c r="S90" i="25"/>
  <c r="U50" i="25"/>
  <c r="U90" i="25" s="1"/>
  <c r="T50" i="25"/>
  <c r="K78" i="25"/>
  <c r="K40" i="25"/>
  <c r="K80" i="25" s="1"/>
  <c r="V118" i="25"/>
  <c r="L36" i="25"/>
  <c r="Q118" i="25"/>
  <c r="S43" i="25"/>
  <c r="T109" i="25"/>
  <c r="T111" i="25" s="1"/>
  <c r="T112" i="25" s="1"/>
  <c r="T113" i="25" s="1"/>
  <c r="T89" i="25"/>
  <c r="V49" i="25"/>
  <c r="V109" i="25" s="1"/>
  <c r="V111" i="25" s="1"/>
  <c r="V112" i="25" s="1"/>
  <c r="P65" i="25"/>
  <c r="Q65" i="25" s="1"/>
  <c r="R63" i="25"/>
  <c r="Q63" i="25"/>
  <c r="U70" i="25"/>
  <c r="V70" i="25" s="1"/>
  <c r="W70" i="25" s="1"/>
  <c r="V13" i="25"/>
  <c r="W13" i="25" s="1"/>
  <c r="K81" i="25"/>
  <c r="M41" i="25"/>
  <c r="U109" i="25"/>
  <c r="U111" i="25" s="1"/>
  <c r="U112" i="25" s="1"/>
  <c r="U113" i="25" s="1"/>
  <c r="U89" i="25"/>
  <c r="G17" i="25"/>
  <c r="G19" i="25"/>
  <c r="G131" i="25" s="1"/>
  <c r="T38" i="25"/>
  <c r="T40" i="25" s="1"/>
  <c r="N18" i="25"/>
  <c r="N82" i="25"/>
  <c r="V96" i="25"/>
  <c r="U36" i="25"/>
  <c r="V36" i="25" s="1"/>
  <c r="G84" i="25"/>
  <c r="L44" i="25"/>
  <c r="W115" i="21"/>
  <c r="F116" i="21"/>
  <c r="G116" i="21" s="1"/>
  <c r="W116" i="21" s="1"/>
  <c r="G17" i="21"/>
  <c r="Q68" i="21"/>
  <c r="V68" i="21"/>
  <c r="K35" i="21"/>
  <c r="M35" i="21" s="1"/>
  <c r="J35" i="21"/>
  <c r="I35" i="21"/>
  <c r="H35" i="21"/>
  <c r="F35" i="21"/>
  <c r="N17" i="25" l="1"/>
  <c r="V57" i="25"/>
  <c r="W57" i="25" s="1"/>
  <c r="W96" i="25" s="1"/>
  <c r="J43" i="25"/>
  <c r="J17" i="25" s="1"/>
  <c r="N84" i="25"/>
  <c r="I17" i="25"/>
  <c r="O40" i="25"/>
  <c r="O43" i="25" s="1"/>
  <c r="N80" i="25"/>
  <c r="K12" i="25"/>
  <c r="L12" i="25" s="1"/>
  <c r="I19" i="25"/>
  <c r="I131" i="25" s="1"/>
  <c r="J45" i="25"/>
  <c r="J85" i="25" s="1"/>
  <c r="J20" i="25" s="1"/>
  <c r="L40" i="25"/>
  <c r="L43" i="25" s="1"/>
  <c r="L19" i="25" s="1"/>
  <c r="F91" i="21"/>
  <c r="F60" i="21"/>
  <c r="G60" i="21" s="1"/>
  <c r="W60" i="21" s="1"/>
  <c r="G31" i="25"/>
  <c r="F108" i="25"/>
  <c r="F75" i="25"/>
  <c r="G75" i="25" s="1"/>
  <c r="W75" i="25" s="1"/>
  <c r="V113" i="25"/>
  <c r="W44" i="25"/>
  <c r="I85" i="25"/>
  <c r="I20" i="25" s="1"/>
  <c r="O78" i="25"/>
  <c r="P36" i="25"/>
  <c r="J132" i="25"/>
  <c r="O18" i="25"/>
  <c r="Q79" i="25"/>
  <c r="W118" i="25"/>
  <c r="K43" i="25"/>
  <c r="K19" i="25" s="1"/>
  <c r="V89" i="25"/>
  <c r="T43" i="25"/>
  <c r="S17" i="25"/>
  <c r="P79" i="25"/>
  <c r="M81" i="25"/>
  <c r="Q41" i="25"/>
  <c r="M43" i="25"/>
  <c r="S63" i="25"/>
  <c r="R65" i="25"/>
  <c r="R78" i="25"/>
  <c r="L78" i="25"/>
  <c r="Z63" i="25"/>
  <c r="Q111" i="25"/>
  <c r="Q112" i="25" s="1"/>
  <c r="Q113" i="25" s="1"/>
  <c r="P67" i="25"/>
  <c r="L79" i="25"/>
  <c r="U38" i="25"/>
  <c r="T90" i="25"/>
  <c r="V90" i="25" s="1"/>
  <c r="V50" i="25"/>
  <c r="W50" i="25" s="1"/>
  <c r="W90" i="25" s="1"/>
  <c r="W17" i="21"/>
  <c r="W91" i="21" s="1"/>
  <c r="G91" i="21"/>
  <c r="G51" i="21"/>
  <c r="H49" i="21"/>
  <c r="I49" i="21" s="1"/>
  <c r="K48" i="21"/>
  <c r="M48" i="21" s="1"/>
  <c r="N48" i="21" s="1"/>
  <c r="O48" i="21" s="1"/>
  <c r="P48" i="21" s="1"/>
  <c r="R48" i="21" s="1"/>
  <c r="S48" i="21" s="1"/>
  <c r="T48" i="21" s="1"/>
  <c r="U48" i="21" s="1"/>
  <c r="J48" i="21"/>
  <c r="J53" i="21" s="1"/>
  <c r="I48" i="21"/>
  <c r="H48" i="21"/>
  <c r="H53" i="21" s="1"/>
  <c r="F48" i="21"/>
  <c r="J84" i="25" l="1"/>
  <c r="J19" i="25"/>
  <c r="J131" i="25" s="1"/>
  <c r="K14" i="25"/>
  <c r="K131" i="25" s="1"/>
  <c r="O80" i="25"/>
  <c r="K45" i="25"/>
  <c r="K85" i="25" s="1"/>
  <c r="K20" i="25" s="1"/>
  <c r="P40" i="25"/>
  <c r="Q40" i="25" s="1"/>
  <c r="L80" i="25"/>
  <c r="G108" i="25"/>
  <c r="W31" i="25"/>
  <c r="W108" i="25" s="1"/>
  <c r="K17" i="25"/>
  <c r="Q36" i="25"/>
  <c r="P78" i="25"/>
  <c r="K84" i="25"/>
  <c r="Q67" i="25"/>
  <c r="P69" i="25"/>
  <c r="L17" i="25"/>
  <c r="Q81" i="25"/>
  <c r="W41" i="25"/>
  <c r="W81" i="25" s="1"/>
  <c r="U40" i="25"/>
  <c r="R79" i="25"/>
  <c r="R67" i="25"/>
  <c r="V38" i="25"/>
  <c r="L14" i="25"/>
  <c r="L131" i="25" s="1"/>
  <c r="M12" i="25"/>
  <c r="T17" i="25"/>
  <c r="O17" i="25"/>
  <c r="O19" i="25"/>
  <c r="O84" i="25"/>
  <c r="S65" i="25"/>
  <c r="S79" i="25" s="1"/>
  <c r="T63" i="25"/>
  <c r="S78" i="25"/>
  <c r="M19" i="25"/>
  <c r="M17" i="25"/>
  <c r="M84" i="25"/>
  <c r="F50" i="21"/>
  <c r="F52" i="21" s="1"/>
  <c r="F53" i="21"/>
  <c r="F68" i="21" s="1"/>
  <c r="G68" i="21" s="1"/>
  <c r="H50" i="21"/>
  <c r="H51" i="21"/>
  <c r="I51" i="21" s="1"/>
  <c r="J51" i="21" s="1"/>
  <c r="K51" i="21" s="1"/>
  <c r="L51" i="21" s="1"/>
  <c r="M51" i="21" s="1"/>
  <c r="N51" i="21" s="1"/>
  <c r="O51" i="21" s="1"/>
  <c r="P51" i="21" s="1"/>
  <c r="Q51" i="21" s="1"/>
  <c r="R51" i="21" s="1"/>
  <c r="S51" i="21" s="1"/>
  <c r="T51" i="21" s="1"/>
  <c r="U51" i="21" s="1"/>
  <c r="V51" i="21" s="1"/>
  <c r="I50" i="21"/>
  <c r="J49" i="21"/>
  <c r="AA18" i="25" l="1"/>
  <c r="Z19" i="25"/>
  <c r="K132" i="25"/>
  <c r="P80" i="25"/>
  <c r="L85" i="25"/>
  <c r="L20" i="25" s="1"/>
  <c r="W20" i="25" s="1"/>
  <c r="L84" i="25"/>
  <c r="Q43" i="25"/>
  <c r="Q17" i="25" s="1"/>
  <c r="P43" i="25"/>
  <c r="P17" i="25" s="1"/>
  <c r="L45" i="25"/>
  <c r="Q78" i="25"/>
  <c r="W36" i="25"/>
  <c r="L132" i="25"/>
  <c r="L134" i="25" s="1"/>
  <c r="S67" i="25"/>
  <c r="S80" i="25" s="1"/>
  <c r="R80" i="25"/>
  <c r="Q69" i="25"/>
  <c r="R69" i="25"/>
  <c r="W38" i="25"/>
  <c r="P18" i="25"/>
  <c r="P82" i="25"/>
  <c r="M45" i="25"/>
  <c r="N12" i="25"/>
  <c r="M14" i="25"/>
  <c r="Q80" i="25"/>
  <c r="T65" i="25"/>
  <c r="T79" i="25" s="1"/>
  <c r="U63" i="25"/>
  <c r="V63" i="25" s="1"/>
  <c r="T78" i="25"/>
  <c r="V40" i="25"/>
  <c r="U43" i="25"/>
  <c r="I52" i="21"/>
  <c r="H52" i="21"/>
  <c r="W51" i="21"/>
  <c r="K49" i="21"/>
  <c r="J50" i="21"/>
  <c r="P19" i="25" l="1"/>
  <c r="Q19" i="25"/>
  <c r="P84" i="25"/>
  <c r="Q84" i="25" s="1"/>
  <c r="S69" i="25"/>
  <c r="S18" i="25" s="1"/>
  <c r="U17" i="25"/>
  <c r="V78" i="25"/>
  <c r="W63" i="25"/>
  <c r="U65" i="25"/>
  <c r="U79" i="25" s="1"/>
  <c r="U78" i="25"/>
  <c r="N45" i="25"/>
  <c r="O12" i="25"/>
  <c r="N14" i="25"/>
  <c r="R18" i="25"/>
  <c r="R82" i="25"/>
  <c r="R19" i="25"/>
  <c r="R84" i="25"/>
  <c r="W40" i="25"/>
  <c r="T67" i="25"/>
  <c r="T69" i="25" s="1"/>
  <c r="M85" i="25"/>
  <c r="V43" i="25"/>
  <c r="Q18" i="25"/>
  <c r="Q82" i="25"/>
  <c r="J52" i="21"/>
  <c r="K50" i="21"/>
  <c r="M49" i="21"/>
  <c r="V65" i="25" l="1"/>
  <c r="W65" i="25" s="1"/>
  <c r="W79" i="25" s="1"/>
  <c r="S19" i="25"/>
  <c r="S82" i="25"/>
  <c r="S84" i="25"/>
  <c r="V17" i="25"/>
  <c r="W43" i="25"/>
  <c r="T80" i="25"/>
  <c r="N85" i="25"/>
  <c r="W78" i="25"/>
  <c r="T18" i="25"/>
  <c r="T82" i="25"/>
  <c r="T84" i="25"/>
  <c r="T19" i="25"/>
  <c r="O45" i="25"/>
  <c r="O14" i="25"/>
  <c r="P12" i="25"/>
  <c r="U67" i="25"/>
  <c r="U80" i="25" s="1"/>
  <c r="K52" i="21"/>
  <c r="R49" i="21"/>
  <c r="M50" i="21"/>
  <c r="M52" i="21" s="1"/>
  <c r="N49" i="21"/>
  <c r="V79" i="25" l="1"/>
  <c r="O85" i="25"/>
  <c r="P45" i="25"/>
  <c r="Q12" i="25"/>
  <c r="P14" i="25"/>
  <c r="V67" i="25"/>
  <c r="U69" i="25"/>
  <c r="W17" i="25"/>
  <c r="O49" i="21"/>
  <c r="N50" i="21"/>
  <c r="N52" i="21" s="1"/>
  <c r="S49" i="21"/>
  <c r="R50" i="21"/>
  <c r="R52" i="21" s="1"/>
  <c r="P85" i="25" l="1"/>
  <c r="Q45" i="25"/>
  <c r="W67" i="25"/>
  <c r="V80" i="25"/>
  <c r="V69" i="25"/>
  <c r="U18" i="25"/>
  <c r="U82" i="25"/>
  <c r="U84" i="25"/>
  <c r="U19" i="25"/>
  <c r="R12" i="25"/>
  <c r="Q14" i="25"/>
  <c r="P49" i="21"/>
  <c r="O50" i="21"/>
  <c r="O52" i="21" s="1"/>
  <c r="T49" i="21"/>
  <c r="S50" i="21"/>
  <c r="S52" i="21" s="1"/>
  <c r="W80" i="25" l="1"/>
  <c r="W69" i="25"/>
  <c r="V18" i="25"/>
  <c r="V82" i="25"/>
  <c r="V19" i="25"/>
  <c r="Q85" i="25"/>
  <c r="R45" i="25"/>
  <c r="S12" i="25"/>
  <c r="R14" i="25"/>
  <c r="V84" i="25"/>
  <c r="W84" i="25" s="1"/>
  <c r="P50" i="21"/>
  <c r="P52" i="21" s="1"/>
  <c r="U49" i="21"/>
  <c r="T50" i="21"/>
  <c r="T52" i="21" s="1"/>
  <c r="S45" i="25" l="1"/>
  <c r="S14" i="25"/>
  <c r="T12" i="25"/>
  <c r="R85" i="25"/>
  <c r="W18" i="25"/>
  <c r="W82" i="25"/>
  <c r="W19" i="25"/>
  <c r="U50" i="21"/>
  <c r="U52" i="21" s="1"/>
  <c r="T45" i="25" l="1"/>
  <c r="T14" i="25"/>
  <c r="U12" i="25"/>
  <c r="S85" i="25"/>
  <c r="S41" i="21"/>
  <c r="V41" i="21" s="1"/>
  <c r="N41" i="21"/>
  <c r="Q41" i="21" s="1"/>
  <c r="L41" i="21"/>
  <c r="G41" i="21"/>
  <c r="T85" i="25" l="1"/>
  <c r="U45" i="25"/>
  <c r="V12" i="25"/>
  <c r="U14" i="25"/>
  <c r="W41" i="21"/>
  <c r="J37" i="2"/>
  <c r="K37" i="2" s="1"/>
  <c r="L37" i="2" s="1"/>
  <c r="M37" i="2" s="1"/>
  <c r="J38" i="2"/>
  <c r="K38" i="2" s="1"/>
  <c r="L38" i="2" s="1"/>
  <c r="M38" i="2" s="1"/>
  <c r="J36" i="2"/>
  <c r="K36" i="2" s="1"/>
  <c r="L36" i="2" s="1"/>
  <c r="I39" i="2"/>
  <c r="J39" i="2" s="1"/>
  <c r="K39" i="2" s="1"/>
  <c r="L39" i="2" s="1"/>
  <c r="M39" i="2" s="1"/>
  <c r="U85" i="25" l="1"/>
  <c r="V45" i="25"/>
  <c r="W12" i="25"/>
  <c r="V14" i="25"/>
  <c r="W14" i="25" s="1"/>
  <c r="M36" i="2"/>
  <c r="K31" i="17"/>
  <c r="J31" i="17"/>
  <c r="I31" i="17"/>
  <c r="G31" i="17" s="1"/>
  <c r="W45" i="25" l="1"/>
  <c r="V85" i="25"/>
  <c r="W85" i="25" s="1"/>
  <c r="G28" i="21"/>
  <c r="N27" i="21"/>
  <c r="F27" i="21"/>
  <c r="G37" i="21"/>
  <c r="F76" i="21"/>
  <c r="R27" i="21" l="1"/>
  <c r="R66" i="21" s="1"/>
  <c r="N66" i="21"/>
  <c r="H27" i="21"/>
  <c r="I27" i="21" s="1"/>
  <c r="I66" i="21" s="1"/>
  <c r="F66" i="21"/>
  <c r="S27" i="21"/>
  <c r="S66" i="21" s="1"/>
  <c r="G27" i="21"/>
  <c r="O27" i="21"/>
  <c r="O66" i="21" s="1"/>
  <c r="H89" i="21"/>
  <c r="I89" i="21"/>
  <c r="J89" i="21"/>
  <c r="K89" i="21"/>
  <c r="M89" i="21"/>
  <c r="N89" i="21"/>
  <c r="O89" i="21"/>
  <c r="P89" i="21"/>
  <c r="R89" i="21"/>
  <c r="S89" i="21"/>
  <c r="T89" i="21"/>
  <c r="U89" i="21"/>
  <c r="J32" i="2"/>
  <c r="K32" i="2"/>
  <c r="L32" i="2"/>
  <c r="M32" i="2"/>
  <c r="N32" i="2"/>
  <c r="O32" i="2"/>
  <c r="P32" i="2"/>
  <c r="Q32" i="2"/>
  <c r="R32" i="2"/>
  <c r="S32" i="2"/>
  <c r="I32" i="2"/>
  <c r="E100" i="21"/>
  <c r="P27" i="21" l="1"/>
  <c r="P66" i="21" s="1"/>
  <c r="J27" i="21"/>
  <c r="T27" i="21"/>
  <c r="T66" i="21" s="1"/>
  <c r="F87" i="21"/>
  <c r="F89" i="21" s="1"/>
  <c r="K27" i="21" l="1"/>
  <c r="F106" i="21"/>
  <c r="G106" i="21" s="1"/>
  <c r="H106" i="21" s="1"/>
  <c r="L27" i="21" l="1"/>
  <c r="K66" i="21"/>
  <c r="M27" i="21"/>
  <c r="M66" i="21" s="1"/>
  <c r="M106" i="21"/>
  <c r="N106" i="21" s="1"/>
  <c r="O106" i="21" s="1"/>
  <c r="P106" i="21" s="1"/>
  <c r="R106" i="21"/>
  <c r="S106" i="21" s="1"/>
  <c r="T106" i="21" s="1"/>
  <c r="I106" i="21"/>
  <c r="J106" i="21" s="1"/>
  <c r="K106" i="21" s="1"/>
  <c r="V106" i="21" l="1"/>
  <c r="L106" i="21"/>
  <c r="Q106" i="21"/>
  <c r="W106" i="21" l="1"/>
  <c r="V87" i="21"/>
  <c r="V89" i="21" s="1"/>
  <c r="Q87" i="21"/>
  <c r="Q89" i="21" s="1"/>
  <c r="L87" i="21"/>
  <c r="L89" i="21" s="1"/>
  <c r="G87" i="21"/>
  <c r="V93" i="21"/>
  <c r="Q93" i="21"/>
  <c r="L93" i="21"/>
  <c r="J92" i="21"/>
  <c r="I92" i="21"/>
  <c r="H92" i="21"/>
  <c r="E92" i="21"/>
  <c r="W85" i="21"/>
  <c r="F80" i="21"/>
  <c r="E80" i="21"/>
  <c r="U79" i="21"/>
  <c r="T79" i="21"/>
  <c r="R79" i="21"/>
  <c r="P79" i="21"/>
  <c r="O79" i="21"/>
  <c r="M79" i="21"/>
  <c r="K79" i="21"/>
  <c r="J79" i="21"/>
  <c r="I79" i="21"/>
  <c r="H79" i="21"/>
  <c r="E79" i="21"/>
  <c r="U78" i="21"/>
  <c r="T78" i="21"/>
  <c r="S78" i="21"/>
  <c r="R78" i="21"/>
  <c r="P78" i="21"/>
  <c r="O78" i="21"/>
  <c r="N78" i="21"/>
  <c r="M78" i="21"/>
  <c r="K78" i="21"/>
  <c r="J78" i="21"/>
  <c r="E77" i="21"/>
  <c r="U76" i="21"/>
  <c r="T76" i="21"/>
  <c r="S76" i="21"/>
  <c r="R76" i="21"/>
  <c r="P76" i="21"/>
  <c r="O76" i="21"/>
  <c r="N76" i="21"/>
  <c r="M76" i="21"/>
  <c r="K76" i="21"/>
  <c r="J76" i="21"/>
  <c r="I76" i="21"/>
  <c r="H76" i="21"/>
  <c r="E76" i="21"/>
  <c r="U75" i="21"/>
  <c r="T75" i="21"/>
  <c r="S75" i="21"/>
  <c r="R75" i="21"/>
  <c r="P75" i="21"/>
  <c r="O75" i="21"/>
  <c r="N75" i="21"/>
  <c r="M75" i="21"/>
  <c r="K75" i="21"/>
  <c r="J75" i="21"/>
  <c r="I75" i="21"/>
  <c r="H75" i="21"/>
  <c r="E75" i="21"/>
  <c r="E74" i="21"/>
  <c r="J73" i="21"/>
  <c r="I73" i="21"/>
  <c r="H73" i="21"/>
  <c r="E73" i="21"/>
  <c r="K72" i="21"/>
  <c r="J72" i="21"/>
  <c r="I72" i="21"/>
  <c r="H72" i="21"/>
  <c r="F72" i="21"/>
  <c r="E71" i="21"/>
  <c r="E70" i="21"/>
  <c r="E65" i="21"/>
  <c r="E64" i="21"/>
  <c r="E63" i="21"/>
  <c r="W58" i="21"/>
  <c r="G56" i="21"/>
  <c r="G55" i="21"/>
  <c r="E54" i="21"/>
  <c r="E99" i="21" s="1"/>
  <c r="V53" i="21"/>
  <c r="Q53" i="21"/>
  <c r="G53" i="21"/>
  <c r="G66" i="21" s="1"/>
  <c r="H42" i="21"/>
  <c r="H80" i="21" s="1"/>
  <c r="G42" i="21"/>
  <c r="G80" i="21" s="1"/>
  <c r="S40" i="21"/>
  <c r="S79" i="21" s="1"/>
  <c r="N40" i="21"/>
  <c r="N79" i="21" s="1"/>
  <c r="L40" i="21"/>
  <c r="F79" i="21"/>
  <c r="V39" i="21"/>
  <c r="V78" i="21" s="1"/>
  <c r="Q39" i="21"/>
  <c r="Q78" i="21" s="1"/>
  <c r="V37" i="21"/>
  <c r="Q37" i="21"/>
  <c r="L37" i="21"/>
  <c r="V36" i="21"/>
  <c r="Q36" i="21"/>
  <c r="L36" i="21"/>
  <c r="F36" i="21"/>
  <c r="G36" i="21" s="1"/>
  <c r="K74" i="21"/>
  <c r="J74" i="21"/>
  <c r="I74" i="21"/>
  <c r="H74" i="21"/>
  <c r="F74" i="21"/>
  <c r="M34" i="21"/>
  <c r="P34" i="21" s="1"/>
  <c r="L34" i="21"/>
  <c r="L92" i="21" s="1"/>
  <c r="M33" i="21"/>
  <c r="M72" i="21" s="1"/>
  <c r="L33" i="21"/>
  <c r="L72" i="21" s="1"/>
  <c r="F30" i="21"/>
  <c r="P55" i="21" s="1"/>
  <c r="V28" i="21"/>
  <c r="N28" i="21"/>
  <c r="L28" i="21"/>
  <c r="Q27" i="21"/>
  <c r="Q66" i="21" s="1"/>
  <c r="G25" i="21"/>
  <c r="H25" i="21" s="1"/>
  <c r="I25" i="21" s="1"/>
  <c r="J25" i="21" s="1"/>
  <c r="K25" i="21" s="1"/>
  <c r="L25" i="21" s="1"/>
  <c r="M25" i="21" s="1"/>
  <c r="N25" i="21" s="1"/>
  <c r="O25" i="21" s="1"/>
  <c r="P25" i="21" s="1"/>
  <c r="Q25" i="21" s="1"/>
  <c r="R25" i="21" s="1"/>
  <c r="S25" i="21" s="1"/>
  <c r="T25" i="21" s="1"/>
  <c r="U25" i="21" s="1"/>
  <c r="V25" i="21" s="1"/>
  <c r="F24" i="21"/>
  <c r="W23" i="21"/>
  <c r="R23" i="21"/>
  <c r="F22" i="21"/>
  <c r="R21" i="21"/>
  <c r="F16" i="21"/>
  <c r="R12" i="21"/>
  <c r="Q12" i="21"/>
  <c r="L12" i="21"/>
  <c r="G12" i="21"/>
  <c r="F11" i="21"/>
  <c r="E57" i="21" l="1"/>
  <c r="E94" i="21"/>
  <c r="I94" i="21"/>
  <c r="I95" i="21" s="1"/>
  <c r="I96" i="21" s="1"/>
  <c r="R55" i="21"/>
  <c r="F31" i="21"/>
  <c r="E101" i="21"/>
  <c r="H24" i="21"/>
  <c r="I24" i="21" s="1"/>
  <c r="G50" i="21"/>
  <c r="F63" i="21"/>
  <c r="J42" i="21"/>
  <c r="J80" i="21" s="1"/>
  <c r="W87" i="21"/>
  <c r="L76" i="21"/>
  <c r="Q76" i="21"/>
  <c r="V76" i="21"/>
  <c r="P33" i="21"/>
  <c r="P72" i="21" s="1"/>
  <c r="L75" i="21"/>
  <c r="Q75" i="21"/>
  <c r="V75" i="21"/>
  <c r="F26" i="21"/>
  <c r="G35" i="21"/>
  <c r="G74" i="21" s="1"/>
  <c r="F90" i="21"/>
  <c r="F59" i="21"/>
  <c r="G59" i="21" s="1"/>
  <c r="W59" i="21" s="1"/>
  <c r="G22" i="21"/>
  <c r="G24" i="21"/>
  <c r="G16" i="21"/>
  <c r="H22" i="21"/>
  <c r="W25" i="21"/>
  <c r="V27" i="21"/>
  <c r="V66" i="21" s="1"/>
  <c r="G11" i="21"/>
  <c r="S12" i="21"/>
  <c r="F13" i="21"/>
  <c r="G75" i="21"/>
  <c r="W36" i="21"/>
  <c r="W75" i="21" s="1"/>
  <c r="O28" i="21"/>
  <c r="P92" i="21"/>
  <c r="P73" i="21"/>
  <c r="H30" i="21"/>
  <c r="N33" i="21"/>
  <c r="R33" i="21"/>
  <c r="K73" i="21"/>
  <c r="L73" i="21" s="1"/>
  <c r="K92" i="21"/>
  <c r="K94" i="21" s="1"/>
  <c r="K95" i="21" s="1"/>
  <c r="K96" i="21" s="1"/>
  <c r="G40" i="21"/>
  <c r="I55" i="21"/>
  <c r="M55" i="21"/>
  <c r="V79" i="21"/>
  <c r="V40" i="21"/>
  <c r="I42" i="21"/>
  <c r="M42" i="21"/>
  <c r="J55" i="21"/>
  <c r="N55" i="21"/>
  <c r="Q79" i="21"/>
  <c r="M92" i="21"/>
  <c r="M73" i="21"/>
  <c r="K55" i="21"/>
  <c r="O55" i="21"/>
  <c r="G30" i="21"/>
  <c r="N34" i="21"/>
  <c r="R34" i="21"/>
  <c r="L74" i="21"/>
  <c r="L35" i="21"/>
  <c r="F93" i="21"/>
  <c r="G93" i="21" s="1"/>
  <c r="W93" i="21" s="1"/>
  <c r="F75" i="21"/>
  <c r="Q40" i="21"/>
  <c r="E67" i="21"/>
  <c r="E69" i="21"/>
  <c r="H55" i="21"/>
  <c r="L79" i="21"/>
  <c r="O6" i="18"/>
  <c r="N6" i="18"/>
  <c r="M6" i="18"/>
  <c r="L6" i="18"/>
  <c r="K6" i="18"/>
  <c r="H6" i="18"/>
  <c r="G6" i="18"/>
  <c r="F6" i="18"/>
  <c r="E6" i="18"/>
  <c r="D6" i="18"/>
  <c r="S41" i="17"/>
  <c r="R41" i="17"/>
  <c r="Q41" i="17"/>
  <c r="P41" i="17"/>
  <c r="O41" i="17"/>
  <c r="N41" i="17"/>
  <c r="M41" i="17"/>
  <c r="L41" i="17"/>
  <c r="K41" i="17"/>
  <c r="I40" i="1" s="1"/>
  <c r="J41" i="17"/>
  <c r="I41" i="17"/>
  <c r="H41" i="17"/>
  <c r="G41" i="17"/>
  <c r="S24" i="17"/>
  <c r="R24" i="17"/>
  <c r="Q24" i="17"/>
  <c r="P24" i="17"/>
  <c r="O24" i="17"/>
  <c r="N24" i="17"/>
  <c r="M24" i="17"/>
  <c r="L24" i="17"/>
  <c r="K24" i="17"/>
  <c r="J24" i="17"/>
  <c r="I24" i="17"/>
  <c r="H24" i="17"/>
  <c r="S23" i="17"/>
  <c r="R23" i="17"/>
  <c r="Q23" i="17"/>
  <c r="P23" i="17"/>
  <c r="O23" i="17"/>
  <c r="N23" i="17"/>
  <c r="M23" i="17"/>
  <c r="L23" i="17"/>
  <c r="K23" i="17"/>
  <c r="J23" i="17"/>
  <c r="I23" i="17"/>
  <c r="H23" i="17"/>
  <c r="S22" i="17"/>
  <c r="R22" i="17"/>
  <c r="Q22" i="17"/>
  <c r="P22" i="17"/>
  <c r="O22" i="17"/>
  <c r="N22" i="17"/>
  <c r="M22" i="17"/>
  <c r="L22" i="17"/>
  <c r="K22" i="17"/>
  <c r="J22" i="17"/>
  <c r="I22" i="17"/>
  <c r="H22" i="17"/>
  <c r="S21" i="17"/>
  <c r="R21" i="17"/>
  <c r="Q21" i="17"/>
  <c r="P21" i="17"/>
  <c r="O21" i="17"/>
  <c r="N21" i="17"/>
  <c r="M21" i="17"/>
  <c r="L21" i="17"/>
  <c r="K21" i="17"/>
  <c r="J21" i="17"/>
  <c r="I21" i="17"/>
  <c r="H21" i="17"/>
  <c r="S20" i="17"/>
  <c r="R20" i="17"/>
  <c r="Q20" i="17"/>
  <c r="P20" i="17"/>
  <c r="O20" i="17"/>
  <c r="N20" i="17"/>
  <c r="M20" i="17"/>
  <c r="L20" i="17"/>
  <c r="K20" i="17"/>
  <c r="J20" i="17"/>
  <c r="I20" i="17"/>
  <c r="H20" i="17"/>
  <c r="S19" i="17"/>
  <c r="R19" i="17"/>
  <c r="Q19" i="17"/>
  <c r="P19" i="17"/>
  <c r="O19" i="17"/>
  <c r="N19" i="17"/>
  <c r="M19" i="17"/>
  <c r="L19" i="17"/>
  <c r="K19" i="17"/>
  <c r="J19" i="17"/>
  <c r="I19" i="17"/>
  <c r="H19" i="17"/>
  <c r="S18" i="17"/>
  <c r="R18" i="17"/>
  <c r="Q18" i="17"/>
  <c r="P18" i="17"/>
  <c r="O18" i="17"/>
  <c r="N18" i="17"/>
  <c r="M18" i="17"/>
  <c r="L18" i="17"/>
  <c r="K18" i="17"/>
  <c r="J18" i="17"/>
  <c r="I18" i="17"/>
  <c r="H18" i="17"/>
  <c r="S17" i="17"/>
  <c r="R17" i="17"/>
  <c r="Q17" i="17"/>
  <c r="P17" i="17"/>
  <c r="O17" i="17"/>
  <c r="N17" i="17"/>
  <c r="M17" i="17"/>
  <c r="L17" i="17"/>
  <c r="K17" i="17"/>
  <c r="J17" i="17"/>
  <c r="I17" i="17"/>
  <c r="H17" i="17"/>
  <c r="S16" i="17"/>
  <c r="R16" i="17"/>
  <c r="Q16" i="17"/>
  <c r="P16" i="17"/>
  <c r="O16" i="17"/>
  <c r="N16" i="17"/>
  <c r="M16" i="17"/>
  <c r="L16" i="17"/>
  <c r="K16" i="17"/>
  <c r="J16" i="17"/>
  <c r="I16" i="17"/>
  <c r="H16" i="17"/>
  <c r="S15" i="17"/>
  <c r="R15" i="17"/>
  <c r="Q15" i="17"/>
  <c r="P15" i="17"/>
  <c r="O15" i="17"/>
  <c r="N15" i="17"/>
  <c r="M15" i="17"/>
  <c r="L15" i="17"/>
  <c r="K15" i="17"/>
  <c r="J15" i="17"/>
  <c r="I15" i="17"/>
  <c r="H15" i="17"/>
  <c r="S14" i="17"/>
  <c r="R14" i="17"/>
  <c r="Q14" i="17"/>
  <c r="P14" i="17"/>
  <c r="O14" i="17"/>
  <c r="N14" i="17"/>
  <c r="M14" i="17"/>
  <c r="L14" i="17"/>
  <c r="K14" i="17"/>
  <c r="J14" i="17"/>
  <c r="I14" i="17"/>
  <c r="H14" i="17"/>
  <c r="S13" i="17"/>
  <c r="R13" i="17"/>
  <c r="Q13" i="17"/>
  <c r="P13" i="17"/>
  <c r="O13" i="17"/>
  <c r="N13" i="17"/>
  <c r="M13" i="17"/>
  <c r="L13" i="17"/>
  <c r="K13" i="17"/>
  <c r="J13" i="17"/>
  <c r="I13" i="17"/>
  <c r="H13" i="17"/>
  <c r="S12" i="17"/>
  <c r="R12" i="17"/>
  <c r="Q12" i="17"/>
  <c r="P12" i="17"/>
  <c r="O12" i="17"/>
  <c r="N12" i="17"/>
  <c r="M12" i="17"/>
  <c r="L12" i="17"/>
  <c r="K12" i="17"/>
  <c r="J12" i="17"/>
  <c r="I12" i="17"/>
  <c r="H12" i="17"/>
  <c r="S11" i="17"/>
  <c r="R11" i="17"/>
  <c r="Q11" i="17"/>
  <c r="P11" i="17"/>
  <c r="O11" i="17"/>
  <c r="N11" i="17"/>
  <c r="M11" i="17"/>
  <c r="L11" i="17"/>
  <c r="K11" i="17"/>
  <c r="J11" i="17"/>
  <c r="I11" i="17"/>
  <c r="H11" i="17"/>
  <c r="S10" i="17"/>
  <c r="R10" i="17"/>
  <c r="Q10" i="17"/>
  <c r="P10" i="17"/>
  <c r="O10" i="17"/>
  <c r="N10" i="17"/>
  <c r="M10" i="17"/>
  <c r="L10" i="17"/>
  <c r="K10" i="17"/>
  <c r="J10" i="17"/>
  <c r="I10" i="17"/>
  <c r="H10" i="17"/>
  <c r="S9" i="17"/>
  <c r="R9" i="17"/>
  <c r="Q9" i="17"/>
  <c r="P9" i="17"/>
  <c r="O9" i="17"/>
  <c r="N9" i="17"/>
  <c r="M9" i="17"/>
  <c r="L9" i="17"/>
  <c r="K9" i="17"/>
  <c r="J9" i="17"/>
  <c r="I9" i="17"/>
  <c r="H9" i="17"/>
  <c r="S8" i="17"/>
  <c r="R8" i="17"/>
  <c r="Q8" i="17"/>
  <c r="P8" i="17"/>
  <c r="O8" i="17"/>
  <c r="N8" i="17"/>
  <c r="M8" i="17"/>
  <c r="L8" i="17"/>
  <c r="K8" i="17"/>
  <c r="J8" i="17"/>
  <c r="I8" i="17"/>
  <c r="H8" i="17"/>
  <c r="S7" i="17"/>
  <c r="R7" i="17"/>
  <c r="Q7" i="17"/>
  <c r="P7" i="17"/>
  <c r="O7" i="17"/>
  <c r="N7" i="17"/>
  <c r="M7" i="17"/>
  <c r="L7" i="17"/>
  <c r="K7" i="17"/>
  <c r="J7" i="17"/>
  <c r="I7" i="17"/>
  <c r="H7" i="17"/>
  <c r="S6" i="17"/>
  <c r="S25" i="17" s="1"/>
  <c r="Q21" i="1" s="1"/>
  <c r="R6" i="17"/>
  <c r="R25" i="17" s="1"/>
  <c r="P21" i="1" s="1"/>
  <c r="Q6" i="17"/>
  <c r="P6" i="17"/>
  <c r="P25" i="17" s="1"/>
  <c r="N21" i="1" s="1"/>
  <c r="O6" i="17"/>
  <c r="O25" i="17" s="1"/>
  <c r="M21" i="1" s="1"/>
  <c r="N6" i="17"/>
  <c r="N25" i="17" s="1"/>
  <c r="L21" i="1" s="1"/>
  <c r="M6" i="17"/>
  <c r="L6" i="17"/>
  <c r="L25" i="17" s="1"/>
  <c r="J21" i="1" s="1"/>
  <c r="K6" i="17"/>
  <c r="K25" i="17" s="1"/>
  <c r="I21" i="1" s="1"/>
  <c r="J6" i="17"/>
  <c r="J25" i="17" s="1"/>
  <c r="H21" i="1" s="1"/>
  <c r="I6" i="17"/>
  <c r="I25" i="17" s="1"/>
  <c r="G21" i="1" s="1"/>
  <c r="H6" i="17"/>
  <c r="H25" i="17" s="1"/>
  <c r="F21" i="1" s="1"/>
  <c r="S41" i="16"/>
  <c r="Q38" i="1" s="1"/>
  <c r="R41" i="16"/>
  <c r="Q41" i="16"/>
  <c r="P41" i="16"/>
  <c r="O41" i="16"/>
  <c r="M38" i="1" s="1"/>
  <c r="N41" i="16"/>
  <c r="M41" i="16"/>
  <c r="L41" i="16"/>
  <c r="K41" i="16"/>
  <c r="I38" i="1" s="1"/>
  <c r="J41" i="16"/>
  <c r="I41" i="16"/>
  <c r="H41" i="16"/>
  <c r="G41" i="16"/>
  <c r="S24" i="16"/>
  <c r="R24" i="16"/>
  <c r="Q24" i="16"/>
  <c r="P24" i="16"/>
  <c r="O24" i="16"/>
  <c r="N24" i="16"/>
  <c r="M24" i="16"/>
  <c r="L24" i="16"/>
  <c r="K24" i="16"/>
  <c r="J24" i="16"/>
  <c r="I24" i="16"/>
  <c r="H24" i="16"/>
  <c r="S23" i="16"/>
  <c r="R23" i="16"/>
  <c r="Q23" i="16"/>
  <c r="P23" i="16"/>
  <c r="O23" i="16"/>
  <c r="N23" i="16"/>
  <c r="M23" i="16"/>
  <c r="L23" i="16"/>
  <c r="K23" i="16"/>
  <c r="J23" i="16"/>
  <c r="I23" i="16"/>
  <c r="H23" i="16"/>
  <c r="S22" i="16"/>
  <c r="R22" i="16"/>
  <c r="Q22" i="16"/>
  <c r="P22" i="16"/>
  <c r="O22" i="16"/>
  <c r="N22" i="16"/>
  <c r="M22" i="16"/>
  <c r="L22" i="16"/>
  <c r="K22" i="16"/>
  <c r="J22" i="16"/>
  <c r="I22" i="16"/>
  <c r="H22" i="16"/>
  <c r="S21" i="16"/>
  <c r="R21" i="16"/>
  <c r="Q21" i="16"/>
  <c r="P21" i="16"/>
  <c r="O21" i="16"/>
  <c r="N21" i="16"/>
  <c r="M21" i="16"/>
  <c r="L21" i="16"/>
  <c r="K21" i="16"/>
  <c r="J21" i="16"/>
  <c r="I21" i="16"/>
  <c r="H21" i="16"/>
  <c r="S20" i="16"/>
  <c r="R20" i="16"/>
  <c r="Q20" i="16"/>
  <c r="P20" i="16"/>
  <c r="O20" i="16"/>
  <c r="N20" i="16"/>
  <c r="M20" i="16"/>
  <c r="L20" i="16"/>
  <c r="K20" i="16"/>
  <c r="J20" i="16"/>
  <c r="I20" i="16"/>
  <c r="H20" i="16"/>
  <c r="S19" i="16"/>
  <c r="R19" i="16"/>
  <c r="Q19" i="16"/>
  <c r="P19" i="16"/>
  <c r="O19" i="16"/>
  <c r="N19" i="16"/>
  <c r="M19" i="16"/>
  <c r="L19" i="16"/>
  <c r="K19" i="16"/>
  <c r="J19" i="16"/>
  <c r="I19" i="16"/>
  <c r="H19" i="16"/>
  <c r="S18" i="16"/>
  <c r="R18" i="16"/>
  <c r="Q18" i="16"/>
  <c r="P18" i="16"/>
  <c r="O18" i="16"/>
  <c r="N18" i="16"/>
  <c r="M18" i="16"/>
  <c r="L18" i="16"/>
  <c r="K18" i="16"/>
  <c r="J18" i="16"/>
  <c r="I18" i="16"/>
  <c r="H18" i="16"/>
  <c r="S17" i="16"/>
  <c r="R17" i="16"/>
  <c r="Q17" i="16"/>
  <c r="P17" i="16"/>
  <c r="O17" i="16"/>
  <c r="N17" i="16"/>
  <c r="M17" i="16"/>
  <c r="L17" i="16"/>
  <c r="K17" i="16"/>
  <c r="J17" i="16"/>
  <c r="I17" i="16"/>
  <c r="H17" i="16"/>
  <c r="S16" i="16"/>
  <c r="R16" i="16"/>
  <c r="Q16" i="16"/>
  <c r="P16" i="16"/>
  <c r="O16" i="16"/>
  <c r="N16" i="16"/>
  <c r="M16" i="16"/>
  <c r="L16" i="16"/>
  <c r="K16" i="16"/>
  <c r="J16" i="16"/>
  <c r="I16" i="16"/>
  <c r="H16" i="16"/>
  <c r="S15" i="16"/>
  <c r="R15" i="16"/>
  <c r="Q15" i="16"/>
  <c r="P15" i="16"/>
  <c r="O15" i="16"/>
  <c r="N15" i="16"/>
  <c r="M15" i="16"/>
  <c r="L15" i="16"/>
  <c r="K15" i="16"/>
  <c r="J15" i="16"/>
  <c r="I15" i="16"/>
  <c r="H15" i="16"/>
  <c r="S14" i="16"/>
  <c r="R14" i="16"/>
  <c r="Q14" i="16"/>
  <c r="P14" i="16"/>
  <c r="O14" i="16"/>
  <c r="N14" i="16"/>
  <c r="M14" i="16"/>
  <c r="L14" i="16"/>
  <c r="K14" i="16"/>
  <c r="J14" i="16"/>
  <c r="I14" i="16"/>
  <c r="H14" i="16"/>
  <c r="S13" i="16"/>
  <c r="R13" i="16"/>
  <c r="Q13" i="16"/>
  <c r="P13" i="16"/>
  <c r="O13" i="16"/>
  <c r="N13" i="16"/>
  <c r="M13" i="16"/>
  <c r="L13" i="16"/>
  <c r="K13" i="16"/>
  <c r="J13" i="16"/>
  <c r="I13" i="16"/>
  <c r="H13" i="16"/>
  <c r="S12" i="16"/>
  <c r="R12" i="16"/>
  <c r="Q12" i="16"/>
  <c r="P12" i="16"/>
  <c r="O12" i="16"/>
  <c r="N12" i="16"/>
  <c r="M12" i="16"/>
  <c r="L12" i="16"/>
  <c r="K12" i="16"/>
  <c r="J12" i="16"/>
  <c r="I12" i="16"/>
  <c r="H12" i="16"/>
  <c r="S11" i="16"/>
  <c r="R11" i="16"/>
  <c r="Q11" i="16"/>
  <c r="P11" i="16"/>
  <c r="O11" i="16"/>
  <c r="N11" i="16"/>
  <c r="M11" i="16"/>
  <c r="L11" i="16"/>
  <c r="K11" i="16"/>
  <c r="J11" i="16"/>
  <c r="I11" i="16"/>
  <c r="H11" i="16"/>
  <c r="S10" i="16"/>
  <c r="R10" i="16"/>
  <c r="Q10" i="16"/>
  <c r="P10" i="16"/>
  <c r="O10" i="16"/>
  <c r="N10" i="16"/>
  <c r="M10" i="16"/>
  <c r="L10" i="16"/>
  <c r="K10" i="16"/>
  <c r="J10" i="16"/>
  <c r="I10" i="16"/>
  <c r="H10" i="16"/>
  <c r="S9" i="16"/>
  <c r="R9" i="16"/>
  <c r="Q9" i="16"/>
  <c r="P9" i="16"/>
  <c r="O9" i="16"/>
  <c r="N9" i="16"/>
  <c r="M9" i="16"/>
  <c r="L9" i="16"/>
  <c r="K9" i="16"/>
  <c r="J9" i="16"/>
  <c r="I9" i="16"/>
  <c r="H9" i="16"/>
  <c r="S8" i="16"/>
  <c r="R8" i="16"/>
  <c r="Q8" i="16"/>
  <c r="P8" i="16"/>
  <c r="O8" i="16"/>
  <c r="N8" i="16"/>
  <c r="M8" i="16"/>
  <c r="L8" i="16"/>
  <c r="K8" i="16"/>
  <c r="J8" i="16"/>
  <c r="I8" i="16"/>
  <c r="H8" i="16"/>
  <c r="S7" i="16"/>
  <c r="R7" i="16"/>
  <c r="Q7" i="16"/>
  <c r="P7" i="16"/>
  <c r="O7" i="16"/>
  <c r="N7" i="16"/>
  <c r="M7" i="16"/>
  <c r="L7" i="16"/>
  <c r="K7" i="16"/>
  <c r="J7" i="16"/>
  <c r="I7" i="16"/>
  <c r="H7" i="16"/>
  <c r="S6" i="16"/>
  <c r="S25" i="16" s="1"/>
  <c r="Q19" i="1" s="1"/>
  <c r="R6" i="16"/>
  <c r="R25" i="16" s="1"/>
  <c r="P19" i="1" s="1"/>
  <c r="Q6" i="16"/>
  <c r="Q25" i="16" s="1"/>
  <c r="P6" i="16"/>
  <c r="P25" i="16" s="1"/>
  <c r="N19" i="1" s="1"/>
  <c r="O6" i="16"/>
  <c r="O25" i="16" s="1"/>
  <c r="N6" i="16"/>
  <c r="M6" i="16"/>
  <c r="M25" i="16" s="1"/>
  <c r="L6" i="16"/>
  <c r="L25" i="16" s="1"/>
  <c r="J19" i="1" s="1"/>
  <c r="K6" i="16"/>
  <c r="K25" i="16" s="1"/>
  <c r="J6" i="16"/>
  <c r="J25" i="16" s="1"/>
  <c r="H19" i="1" s="1"/>
  <c r="I6" i="16"/>
  <c r="I25" i="16" s="1"/>
  <c r="H6" i="16"/>
  <c r="H25" i="16" s="1"/>
  <c r="S41" i="15"/>
  <c r="R41" i="15"/>
  <c r="Q41" i="15"/>
  <c r="P41" i="15"/>
  <c r="O41" i="15"/>
  <c r="N41" i="15"/>
  <c r="L39" i="1" s="1"/>
  <c r="M41" i="15"/>
  <c r="L41" i="15"/>
  <c r="K41" i="15"/>
  <c r="J41" i="15"/>
  <c r="I41" i="15"/>
  <c r="H41" i="15"/>
  <c r="G41" i="15"/>
  <c r="I25" i="15"/>
  <c r="G20" i="1" s="1"/>
  <c r="S24" i="15"/>
  <c r="R24" i="15"/>
  <c r="Q24" i="15"/>
  <c r="P24" i="15"/>
  <c r="O24" i="15"/>
  <c r="N24" i="15"/>
  <c r="M24" i="15"/>
  <c r="L24" i="15"/>
  <c r="K24" i="15"/>
  <c r="J24" i="15"/>
  <c r="I24" i="15"/>
  <c r="H24" i="15"/>
  <c r="S23" i="15"/>
  <c r="R23" i="15"/>
  <c r="Q23" i="15"/>
  <c r="P23" i="15"/>
  <c r="O23" i="15"/>
  <c r="N23" i="15"/>
  <c r="M23" i="15"/>
  <c r="L23" i="15"/>
  <c r="K23" i="15"/>
  <c r="J23" i="15"/>
  <c r="I23" i="15"/>
  <c r="H23" i="15"/>
  <c r="S22" i="15"/>
  <c r="R22" i="15"/>
  <c r="Q22" i="15"/>
  <c r="P22" i="15"/>
  <c r="O22" i="15"/>
  <c r="N22" i="15"/>
  <c r="M22" i="15"/>
  <c r="L22" i="15"/>
  <c r="K22" i="15"/>
  <c r="J22" i="15"/>
  <c r="I22" i="15"/>
  <c r="H22" i="15"/>
  <c r="S21" i="15"/>
  <c r="R21" i="15"/>
  <c r="Q21" i="15"/>
  <c r="P21" i="15"/>
  <c r="O21" i="15"/>
  <c r="N21" i="15"/>
  <c r="M21" i="15"/>
  <c r="L21" i="15"/>
  <c r="K21" i="15"/>
  <c r="J21" i="15"/>
  <c r="I21" i="15"/>
  <c r="H21" i="15"/>
  <c r="S20" i="15"/>
  <c r="R20" i="15"/>
  <c r="Q20" i="15"/>
  <c r="P20" i="15"/>
  <c r="O20" i="15"/>
  <c r="N20" i="15"/>
  <c r="M20" i="15"/>
  <c r="L20" i="15"/>
  <c r="K20" i="15"/>
  <c r="J20" i="15"/>
  <c r="I20" i="15"/>
  <c r="H20" i="15"/>
  <c r="S19" i="15"/>
  <c r="R19" i="15"/>
  <c r="Q19" i="15"/>
  <c r="P19" i="15"/>
  <c r="O19" i="15"/>
  <c r="N19" i="15"/>
  <c r="M19" i="15"/>
  <c r="L19" i="15"/>
  <c r="K19" i="15"/>
  <c r="J19" i="15"/>
  <c r="I19" i="15"/>
  <c r="H19" i="15"/>
  <c r="S18" i="15"/>
  <c r="R18" i="15"/>
  <c r="Q18" i="15"/>
  <c r="P18" i="15"/>
  <c r="O18" i="15"/>
  <c r="N18" i="15"/>
  <c r="M18" i="15"/>
  <c r="L18" i="15"/>
  <c r="K18" i="15"/>
  <c r="J18" i="15"/>
  <c r="I18" i="15"/>
  <c r="H18" i="15"/>
  <c r="S17" i="15"/>
  <c r="R17" i="15"/>
  <c r="Q17" i="15"/>
  <c r="P17" i="15"/>
  <c r="O17" i="15"/>
  <c r="N17" i="15"/>
  <c r="M17" i="15"/>
  <c r="L17" i="15"/>
  <c r="K17" i="15"/>
  <c r="J17" i="15"/>
  <c r="I17" i="15"/>
  <c r="H17" i="15"/>
  <c r="S16" i="15"/>
  <c r="R16" i="15"/>
  <c r="Q16" i="15"/>
  <c r="P16" i="15"/>
  <c r="O16" i="15"/>
  <c r="N16" i="15"/>
  <c r="M16" i="15"/>
  <c r="L16" i="15"/>
  <c r="K16" i="15"/>
  <c r="J16" i="15"/>
  <c r="I16" i="15"/>
  <c r="H16" i="15"/>
  <c r="S15" i="15"/>
  <c r="R15" i="15"/>
  <c r="Q15" i="15"/>
  <c r="P15" i="15"/>
  <c r="O15" i="15"/>
  <c r="N15" i="15"/>
  <c r="M15" i="15"/>
  <c r="L15" i="15"/>
  <c r="K15" i="15"/>
  <c r="J15" i="15"/>
  <c r="I15" i="15"/>
  <c r="H15" i="15"/>
  <c r="S14" i="15"/>
  <c r="R14" i="15"/>
  <c r="Q14" i="15"/>
  <c r="P14" i="15"/>
  <c r="O14" i="15"/>
  <c r="N14" i="15"/>
  <c r="M14" i="15"/>
  <c r="L14" i="15"/>
  <c r="K14" i="15"/>
  <c r="J14" i="15"/>
  <c r="I14" i="15"/>
  <c r="H14" i="15"/>
  <c r="S13" i="15"/>
  <c r="R13" i="15"/>
  <c r="Q13" i="15"/>
  <c r="P13" i="15"/>
  <c r="O13" i="15"/>
  <c r="N13" i="15"/>
  <c r="M13" i="15"/>
  <c r="L13" i="15"/>
  <c r="K13" i="15"/>
  <c r="J13" i="15"/>
  <c r="I13" i="15"/>
  <c r="H13" i="15"/>
  <c r="S12" i="15"/>
  <c r="R12" i="15"/>
  <c r="Q12" i="15"/>
  <c r="P12" i="15"/>
  <c r="O12" i="15"/>
  <c r="N12" i="15"/>
  <c r="M12" i="15"/>
  <c r="L12" i="15"/>
  <c r="K12" i="15"/>
  <c r="J12" i="15"/>
  <c r="I12" i="15"/>
  <c r="H12" i="15"/>
  <c r="S11" i="15"/>
  <c r="R11" i="15"/>
  <c r="Q11" i="15"/>
  <c r="P11" i="15"/>
  <c r="O11" i="15"/>
  <c r="N11" i="15"/>
  <c r="M11" i="15"/>
  <c r="L11" i="15"/>
  <c r="K11" i="15"/>
  <c r="J11" i="15"/>
  <c r="I11" i="15"/>
  <c r="H11" i="15"/>
  <c r="S10" i="15"/>
  <c r="R10" i="15"/>
  <c r="Q10" i="15"/>
  <c r="P10" i="15"/>
  <c r="O10" i="15"/>
  <c r="N10" i="15"/>
  <c r="M10" i="15"/>
  <c r="L10" i="15"/>
  <c r="K10" i="15"/>
  <c r="J10" i="15"/>
  <c r="I10" i="15"/>
  <c r="H10" i="15"/>
  <c r="S9" i="15"/>
  <c r="R9" i="15"/>
  <c r="Q9" i="15"/>
  <c r="P9" i="15"/>
  <c r="O9" i="15"/>
  <c r="N9" i="15"/>
  <c r="M9" i="15"/>
  <c r="L9" i="15"/>
  <c r="K9" i="15"/>
  <c r="J9" i="15"/>
  <c r="I9" i="15"/>
  <c r="H9" i="15"/>
  <c r="S8" i="15"/>
  <c r="R8" i="15"/>
  <c r="Q8" i="15"/>
  <c r="P8" i="15"/>
  <c r="O8" i="15"/>
  <c r="N8" i="15"/>
  <c r="M8" i="15"/>
  <c r="L8" i="15"/>
  <c r="K8" i="15"/>
  <c r="J8" i="15"/>
  <c r="I8" i="15"/>
  <c r="H8" i="15"/>
  <c r="S7" i="15"/>
  <c r="R7" i="15"/>
  <c r="Q7" i="15"/>
  <c r="P7" i="15"/>
  <c r="O7" i="15"/>
  <c r="N7" i="15"/>
  <c r="M7" i="15"/>
  <c r="L7" i="15"/>
  <c r="K7" i="15"/>
  <c r="J7" i="15"/>
  <c r="I7" i="15"/>
  <c r="H7" i="15"/>
  <c r="S6" i="15"/>
  <c r="S25" i="15" s="1"/>
  <c r="Q20" i="1" s="1"/>
  <c r="R6" i="15"/>
  <c r="R25" i="15" s="1"/>
  <c r="P20" i="1" s="1"/>
  <c r="Q6" i="15"/>
  <c r="Q25" i="15" s="1"/>
  <c r="O20" i="1" s="1"/>
  <c r="P6" i="15"/>
  <c r="O6" i="15"/>
  <c r="O25" i="15" s="1"/>
  <c r="N6" i="15"/>
  <c r="N25" i="15" s="1"/>
  <c r="M6" i="15"/>
  <c r="M25" i="15" s="1"/>
  <c r="K20" i="1" s="1"/>
  <c r="L6" i="15"/>
  <c r="L25" i="15" s="1"/>
  <c r="J20" i="1" s="1"/>
  <c r="K6" i="15"/>
  <c r="K25" i="15" s="1"/>
  <c r="I20" i="1" s="1"/>
  <c r="J6" i="15"/>
  <c r="J25" i="15" s="1"/>
  <c r="H20" i="1" s="1"/>
  <c r="I6" i="15"/>
  <c r="H6" i="15"/>
  <c r="S41" i="14"/>
  <c r="R41" i="14"/>
  <c r="Q41" i="14"/>
  <c r="O37" i="1" s="1"/>
  <c r="P41" i="14"/>
  <c r="N37" i="1" s="1"/>
  <c r="O41" i="14"/>
  <c r="N41" i="14"/>
  <c r="M41" i="14"/>
  <c r="K37" i="1" s="1"/>
  <c r="L41" i="14"/>
  <c r="K41" i="14"/>
  <c r="J41" i="14"/>
  <c r="H41" i="14"/>
  <c r="F37" i="1" s="1"/>
  <c r="G35" i="14"/>
  <c r="G34" i="14"/>
  <c r="G31" i="14"/>
  <c r="I29" i="14"/>
  <c r="G29" i="14" s="1"/>
  <c r="S24" i="14"/>
  <c r="R24" i="14"/>
  <c r="Q24" i="14"/>
  <c r="P24" i="14"/>
  <c r="O24" i="14"/>
  <c r="N24" i="14"/>
  <c r="M24" i="14"/>
  <c r="L24" i="14"/>
  <c r="K24" i="14"/>
  <c r="J24" i="14"/>
  <c r="I24" i="14"/>
  <c r="H24" i="14"/>
  <c r="S23" i="14"/>
  <c r="R23" i="14"/>
  <c r="Q23" i="14"/>
  <c r="P23" i="14"/>
  <c r="O23" i="14"/>
  <c r="N23" i="14"/>
  <c r="M23" i="14"/>
  <c r="L23" i="14"/>
  <c r="K23" i="14"/>
  <c r="J23" i="14"/>
  <c r="I23" i="14"/>
  <c r="H23" i="14"/>
  <c r="S22" i="14"/>
  <c r="R22" i="14"/>
  <c r="Q22" i="14"/>
  <c r="P22" i="14"/>
  <c r="O22" i="14"/>
  <c r="N22" i="14"/>
  <c r="M22" i="14"/>
  <c r="L22" i="14"/>
  <c r="K22" i="14"/>
  <c r="J22" i="14"/>
  <c r="I22" i="14"/>
  <c r="H22" i="14"/>
  <c r="S21" i="14"/>
  <c r="R21" i="14"/>
  <c r="Q21" i="14"/>
  <c r="P21" i="14"/>
  <c r="O21" i="14"/>
  <c r="N21" i="14"/>
  <c r="M21" i="14"/>
  <c r="L21" i="14"/>
  <c r="K21" i="14"/>
  <c r="J21" i="14"/>
  <c r="I21" i="14"/>
  <c r="H21" i="14"/>
  <c r="S20" i="14"/>
  <c r="R20" i="14"/>
  <c r="Q20" i="14"/>
  <c r="P20" i="14"/>
  <c r="O20" i="14"/>
  <c r="N20" i="14"/>
  <c r="M20" i="14"/>
  <c r="L20" i="14"/>
  <c r="K20" i="14"/>
  <c r="J20" i="14"/>
  <c r="I20" i="14"/>
  <c r="H20" i="14"/>
  <c r="S19" i="14"/>
  <c r="R19" i="14"/>
  <c r="Q19" i="14"/>
  <c r="P19" i="14"/>
  <c r="O19" i="14"/>
  <c r="N19" i="14"/>
  <c r="M19" i="14"/>
  <c r="L19" i="14"/>
  <c r="K19" i="14"/>
  <c r="J19" i="14"/>
  <c r="I19" i="14"/>
  <c r="H19" i="14"/>
  <c r="S18" i="14"/>
  <c r="R18" i="14"/>
  <c r="Q18" i="14"/>
  <c r="P18" i="14"/>
  <c r="O18" i="14"/>
  <c r="N18" i="14"/>
  <c r="M18" i="14"/>
  <c r="L18" i="14"/>
  <c r="K18" i="14"/>
  <c r="J18" i="14"/>
  <c r="I18" i="14"/>
  <c r="H18" i="14"/>
  <c r="S17" i="14"/>
  <c r="R17" i="14"/>
  <c r="Q17" i="14"/>
  <c r="P17" i="14"/>
  <c r="O17" i="14"/>
  <c r="N17" i="14"/>
  <c r="M17" i="14"/>
  <c r="L17" i="14"/>
  <c r="K17" i="14"/>
  <c r="J17" i="14"/>
  <c r="I17" i="14"/>
  <c r="H17" i="14"/>
  <c r="S16" i="14"/>
  <c r="R16" i="14"/>
  <c r="Q16" i="14"/>
  <c r="P16" i="14"/>
  <c r="O16" i="14"/>
  <c r="N16" i="14"/>
  <c r="M16" i="14"/>
  <c r="L16" i="14"/>
  <c r="K16" i="14"/>
  <c r="J16" i="14"/>
  <c r="I16" i="14"/>
  <c r="H16" i="14"/>
  <c r="S15" i="14"/>
  <c r="R15" i="14"/>
  <c r="Q15" i="14"/>
  <c r="P15" i="14"/>
  <c r="O15" i="14"/>
  <c r="N15" i="14"/>
  <c r="M15" i="14"/>
  <c r="L15" i="14"/>
  <c r="K15" i="14"/>
  <c r="J15" i="14"/>
  <c r="I15" i="14"/>
  <c r="H15" i="14"/>
  <c r="S14" i="14"/>
  <c r="R14" i="14"/>
  <c r="Q14" i="14"/>
  <c r="P14" i="14"/>
  <c r="O14" i="14"/>
  <c r="N14" i="14"/>
  <c r="M14" i="14"/>
  <c r="L14" i="14"/>
  <c r="K14" i="14"/>
  <c r="J14" i="14"/>
  <c r="I14" i="14"/>
  <c r="H14" i="14"/>
  <c r="S13" i="14"/>
  <c r="R13" i="14"/>
  <c r="Q13" i="14"/>
  <c r="P13" i="14"/>
  <c r="O13" i="14"/>
  <c r="N13" i="14"/>
  <c r="M13" i="14"/>
  <c r="L13" i="14"/>
  <c r="K13" i="14"/>
  <c r="J13" i="14"/>
  <c r="I13" i="14"/>
  <c r="H13" i="14"/>
  <c r="S12" i="14"/>
  <c r="R12" i="14"/>
  <c r="Q12" i="14"/>
  <c r="P12" i="14"/>
  <c r="O12" i="14"/>
  <c r="N12" i="14"/>
  <c r="M12" i="14"/>
  <c r="L12" i="14"/>
  <c r="K12" i="14"/>
  <c r="J12" i="14"/>
  <c r="I12" i="14"/>
  <c r="H12" i="14"/>
  <c r="S11" i="14"/>
  <c r="R11" i="14"/>
  <c r="Q11" i="14"/>
  <c r="P11" i="14"/>
  <c r="O11" i="14"/>
  <c r="N11" i="14"/>
  <c r="M11" i="14"/>
  <c r="L11" i="14"/>
  <c r="K11" i="14"/>
  <c r="J11" i="14"/>
  <c r="I11" i="14"/>
  <c r="H11" i="14"/>
  <c r="S10" i="14"/>
  <c r="R10" i="14"/>
  <c r="Q10" i="14"/>
  <c r="P10" i="14"/>
  <c r="O10" i="14"/>
  <c r="N10" i="14"/>
  <c r="M10" i="14"/>
  <c r="L10" i="14"/>
  <c r="K10" i="14"/>
  <c r="J10" i="14"/>
  <c r="I10" i="14"/>
  <c r="H10" i="14"/>
  <c r="S9" i="14"/>
  <c r="R9" i="14"/>
  <c r="Q9" i="14"/>
  <c r="P9" i="14"/>
  <c r="O9" i="14"/>
  <c r="N9" i="14"/>
  <c r="M9" i="14"/>
  <c r="L9" i="14"/>
  <c r="K9" i="14"/>
  <c r="J9" i="14"/>
  <c r="I9" i="14"/>
  <c r="H9" i="14"/>
  <c r="S8" i="14"/>
  <c r="R8" i="14"/>
  <c r="Q8" i="14"/>
  <c r="P8" i="14"/>
  <c r="O8" i="14"/>
  <c r="N8" i="14"/>
  <c r="M8" i="14"/>
  <c r="L8" i="14"/>
  <c r="K8" i="14"/>
  <c r="J8" i="14"/>
  <c r="I8" i="14"/>
  <c r="H8" i="14"/>
  <c r="S7" i="14"/>
  <c r="R7" i="14"/>
  <c r="Q7" i="14"/>
  <c r="P7" i="14"/>
  <c r="O7" i="14"/>
  <c r="N7" i="14"/>
  <c r="M7" i="14"/>
  <c r="L7" i="14"/>
  <c r="K7" i="14"/>
  <c r="J7" i="14"/>
  <c r="I7" i="14"/>
  <c r="H7" i="14"/>
  <c r="S6" i="14"/>
  <c r="R6" i="14"/>
  <c r="R25" i="14" s="1"/>
  <c r="P18" i="1" s="1"/>
  <c r="Q6" i="14"/>
  <c r="Q25" i="14" s="1"/>
  <c r="O18" i="1" s="1"/>
  <c r="P6" i="14"/>
  <c r="O6" i="14"/>
  <c r="O25" i="14" s="1"/>
  <c r="M18" i="1" s="1"/>
  <c r="N6" i="14"/>
  <c r="N25" i="14" s="1"/>
  <c r="L18" i="1" s="1"/>
  <c r="M6" i="14"/>
  <c r="M25" i="14" s="1"/>
  <c r="K18" i="1" s="1"/>
  <c r="L6" i="14"/>
  <c r="K6" i="14"/>
  <c r="K25" i="14" s="1"/>
  <c r="I18" i="1" s="1"/>
  <c r="J6" i="14"/>
  <c r="J25" i="14" s="1"/>
  <c r="I6" i="14"/>
  <c r="I25" i="14" s="1"/>
  <c r="G18" i="1" s="1"/>
  <c r="H6" i="14"/>
  <c r="S41" i="13"/>
  <c r="Q36" i="1" s="1"/>
  <c r="R41" i="13"/>
  <c r="Q41" i="13"/>
  <c r="P41" i="13"/>
  <c r="O41" i="13"/>
  <c r="M36" i="1" s="1"/>
  <c r="N41" i="13"/>
  <c r="M41" i="13"/>
  <c r="L41" i="13"/>
  <c r="J36" i="1" s="1"/>
  <c r="K41" i="13"/>
  <c r="I36" i="1" s="1"/>
  <c r="J41" i="13"/>
  <c r="I41" i="13"/>
  <c r="H41" i="13"/>
  <c r="G41" i="13"/>
  <c r="S24" i="13"/>
  <c r="R24" i="13"/>
  <c r="Q24" i="13"/>
  <c r="P24" i="13"/>
  <c r="O24" i="13"/>
  <c r="N24" i="13"/>
  <c r="M24" i="13"/>
  <c r="L24" i="13"/>
  <c r="K24" i="13"/>
  <c r="J24" i="13"/>
  <c r="I24" i="13"/>
  <c r="H24" i="13"/>
  <c r="S23" i="13"/>
  <c r="R23" i="13"/>
  <c r="Q23" i="13"/>
  <c r="P23" i="13"/>
  <c r="O23" i="13"/>
  <c r="N23" i="13"/>
  <c r="M23" i="13"/>
  <c r="L23" i="13"/>
  <c r="K23" i="13"/>
  <c r="J23" i="13"/>
  <c r="I23" i="13"/>
  <c r="H23" i="13"/>
  <c r="S22" i="13"/>
  <c r="R22" i="13"/>
  <c r="Q22" i="13"/>
  <c r="P22" i="13"/>
  <c r="O22" i="13"/>
  <c r="N22" i="13"/>
  <c r="M22" i="13"/>
  <c r="L22" i="13"/>
  <c r="K22" i="13"/>
  <c r="J22" i="13"/>
  <c r="I22" i="13"/>
  <c r="H22" i="13"/>
  <c r="S21" i="13"/>
  <c r="R21" i="13"/>
  <c r="Q21" i="13"/>
  <c r="P21" i="13"/>
  <c r="O21" i="13"/>
  <c r="N21" i="13"/>
  <c r="M21" i="13"/>
  <c r="L21" i="13"/>
  <c r="K21" i="13"/>
  <c r="J21" i="13"/>
  <c r="I21" i="13"/>
  <c r="H21" i="13"/>
  <c r="S20" i="13"/>
  <c r="R20" i="13"/>
  <c r="Q20" i="13"/>
  <c r="P20" i="13"/>
  <c r="O20" i="13"/>
  <c r="N20" i="13"/>
  <c r="M20" i="13"/>
  <c r="L20" i="13"/>
  <c r="K20" i="13"/>
  <c r="J20" i="13"/>
  <c r="I20" i="13"/>
  <c r="H20" i="13"/>
  <c r="S19" i="13"/>
  <c r="R19" i="13"/>
  <c r="Q19" i="13"/>
  <c r="P19" i="13"/>
  <c r="O19" i="13"/>
  <c r="N19" i="13"/>
  <c r="M19" i="13"/>
  <c r="L19" i="13"/>
  <c r="K19" i="13"/>
  <c r="J19" i="13"/>
  <c r="I19" i="13"/>
  <c r="H19" i="13"/>
  <c r="S18" i="13"/>
  <c r="R18" i="13"/>
  <c r="Q18" i="13"/>
  <c r="P18" i="13"/>
  <c r="O18" i="13"/>
  <c r="N18" i="13"/>
  <c r="M18" i="13"/>
  <c r="L18" i="13"/>
  <c r="K18" i="13"/>
  <c r="J18" i="13"/>
  <c r="I18" i="13"/>
  <c r="H18" i="13"/>
  <c r="S17" i="13"/>
  <c r="R17" i="13"/>
  <c r="Q17" i="13"/>
  <c r="P17" i="13"/>
  <c r="O17" i="13"/>
  <c r="N17" i="13"/>
  <c r="M17" i="13"/>
  <c r="L17" i="13"/>
  <c r="K17" i="13"/>
  <c r="J17" i="13"/>
  <c r="I17" i="13"/>
  <c r="H17" i="13"/>
  <c r="S16" i="13"/>
  <c r="R16" i="13"/>
  <c r="Q16" i="13"/>
  <c r="P16" i="13"/>
  <c r="O16" i="13"/>
  <c r="N16" i="13"/>
  <c r="M16" i="13"/>
  <c r="L16" i="13"/>
  <c r="K16" i="13"/>
  <c r="J16" i="13"/>
  <c r="I16" i="13"/>
  <c r="H16" i="13"/>
  <c r="S15" i="13"/>
  <c r="R15" i="13"/>
  <c r="Q15" i="13"/>
  <c r="P15" i="13"/>
  <c r="O15" i="13"/>
  <c r="N15" i="13"/>
  <c r="M15" i="13"/>
  <c r="L15" i="13"/>
  <c r="K15" i="13"/>
  <c r="J15" i="13"/>
  <c r="I15" i="13"/>
  <c r="H15" i="13"/>
  <c r="S14" i="13"/>
  <c r="R14" i="13"/>
  <c r="Q14" i="13"/>
  <c r="P14" i="13"/>
  <c r="O14" i="13"/>
  <c r="N14" i="13"/>
  <c r="M14" i="13"/>
  <c r="L14" i="13"/>
  <c r="K14" i="13"/>
  <c r="J14" i="13"/>
  <c r="I14" i="13"/>
  <c r="H14" i="13"/>
  <c r="S13" i="13"/>
  <c r="R13" i="13"/>
  <c r="Q13" i="13"/>
  <c r="P13" i="13"/>
  <c r="O13" i="13"/>
  <c r="N13" i="13"/>
  <c r="M13" i="13"/>
  <c r="L13" i="13"/>
  <c r="K13" i="13"/>
  <c r="J13" i="13"/>
  <c r="I13" i="13"/>
  <c r="H13" i="13"/>
  <c r="S12" i="13"/>
  <c r="R12" i="13"/>
  <c r="Q12" i="13"/>
  <c r="P12" i="13"/>
  <c r="O12" i="13"/>
  <c r="N12" i="13"/>
  <c r="M12" i="13"/>
  <c r="L12" i="13"/>
  <c r="K12" i="13"/>
  <c r="J12" i="13"/>
  <c r="I12" i="13"/>
  <c r="H12" i="13"/>
  <c r="S11" i="13"/>
  <c r="R11" i="13"/>
  <c r="Q11" i="13"/>
  <c r="P11" i="13"/>
  <c r="O11" i="13"/>
  <c r="N11" i="13"/>
  <c r="M11" i="13"/>
  <c r="L11" i="13"/>
  <c r="K11" i="13"/>
  <c r="J11" i="13"/>
  <c r="I11" i="13"/>
  <c r="H11" i="13"/>
  <c r="S10" i="13"/>
  <c r="R10" i="13"/>
  <c r="Q10" i="13"/>
  <c r="P10" i="13"/>
  <c r="O10" i="13"/>
  <c r="N10" i="13"/>
  <c r="M10" i="13"/>
  <c r="L10" i="13"/>
  <c r="K10" i="13"/>
  <c r="J10" i="13"/>
  <c r="I10" i="13"/>
  <c r="H10" i="13"/>
  <c r="S9" i="13"/>
  <c r="R9" i="13"/>
  <c r="Q9" i="13"/>
  <c r="P9" i="13"/>
  <c r="O9" i="13"/>
  <c r="N9" i="13"/>
  <c r="M9" i="13"/>
  <c r="L9" i="13"/>
  <c r="K9" i="13"/>
  <c r="J9" i="13"/>
  <c r="I9" i="13"/>
  <c r="H9" i="13"/>
  <c r="S8" i="13"/>
  <c r="R8" i="13"/>
  <c r="Q8" i="13"/>
  <c r="P8" i="13"/>
  <c r="O8" i="13"/>
  <c r="N8" i="13"/>
  <c r="M8" i="13"/>
  <c r="L8" i="13"/>
  <c r="K8" i="13"/>
  <c r="J8" i="13"/>
  <c r="I8" i="13"/>
  <c r="H8" i="13"/>
  <c r="S7" i="13"/>
  <c r="R7" i="13"/>
  <c r="Q7" i="13"/>
  <c r="P7" i="13"/>
  <c r="O7" i="13"/>
  <c r="N7" i="13"/>
  <c r="M7" i="13"/>
  <c r="L7" i="13"/>
  <c r="K7" i="13"/>
  <c r="J7" i="13"/>
  <c r="I7" i="13"/>
  <c r="H7" i="13"/>
  <c r="S6" i="13"/>
  <c r="S25" i="13" s="1"/>
  <c r="Q17" i="1" s="1"/>
  <c r="R6" i="13"/>
  <c r="R25" i="13" s="1"/>
  <c r="Q6" i="13"/>
  <c r="Q25" i="13" s="1"/>
  <c r="P6" i="13"/>
  <c r="P25" i="13" s="1"/>
  <c r="N17" i="1" s="1"/>
  <c r="O6" i="13"/>
  <c r="N6" i="13"/>
  <c r="N25" i="13" s="1"/>
  <c r="L17" i="1" s="1"/>
  <c r="M6" i="13"/>
  <c r="M25" i="13" s="1"/>
  <c r="K17" i="1" s="1"/>
  <c r="L6" i="13"/>
  <c r="L25" i="13" s="1"/>
  <c r="J17" i="1" s="1"/>
  <c r="K6" i="13"/>
  <c r="K25" i="13" s="1"/>
  <c r="I17" i="1" s="1"/>
  <c r="J6" i="13"/>
  <c r="J25" i="13" s="1"/>
  <c r="H17" i="1" s="1"/>
  <c r="I6" i="13"/>
  <c r="I25" i="13" s="1"/>
  <c r="G17" i="1" s="1"/>
  <c r="H6" i="13"/>
  <c r="H25" i="13" s="1"/>
  <c r="F17" i="1" s="1"/>
  <c r="S41" i="12"/>
  <c r="R41" i="12"/>
  <c r="Q41" i="12"/>
  <c r="P41" i="12"/>
  <c r="O41" i="12"/>
  <c r="M35" i="1" s="1"/>
  <c r="N41" i="12"/>
  <c r="M41" i="12"/>
  <c r="L41" i="12"/>
  <c r="K41" i="12"/>
  <c r="J41" i="12"/>
  <c r="I41" i="12"/>
  <c r="H41" i="12"/>
  <c r="G41" i="12"/>
  <c r="S24" i="12"/>
  <c r="R24" i="12"/>
  <c r="Q24" i="12"/>
  <c r="P24" i="12"/>
  <c r="O24" i="12"/>
  <c r="N24" i="12"/>
  <c r="M24" i="12"/>
  <c r="L24" i="12"/>
  <c r="K24" i="12"/>
  <c r="J24" i="12"/>
  <c r="I24" i="12"/>
  <c r="H24" i="12"/>
  <c r="S23" i="12"/>
  <c r="R23" i="12"/>
  <c r="Q23" i="12"/>
  <c r="P23" i="12"/>
  <c r="O23" i="12"/>
  <c r="N23" i="12"/>
  <c r="M23" i="12"/>
  <c r="L23" i="12"/>
  <c r="K23" i="12"/>
  <c r="J23" i="12"/>
  <c r="I23" i="12"/>
  <c r="H23" i="12"/>
  <c r="S22" i="12"/>
  <c r="R22" i="12"/>
  <c r="Q22" i="12"/>
  <c r="P22" i="12"/>
  <c r="O22" i="12"/>
  <c r="N22" i="12"/>
  <c r="M22" i="12"/>
  <c r="L22" i="12"/>
  <c r="K22" i="12"/>
  <c r="J22" i="12"/>
  <c r="I22" i="12"/>
  <c r="H22" i="12"/>
  <c r="S21" i="12"/>
  <c r="R21" i="12"/>
  <c r="Q21" i="12"/>
  <c r="P21" i="12"/>
  <c r="O21" i="12"/>
  <c r="N21" i="12"/>
  <c r="M21" i="12"/>
  <c r="L21" i="12"/>
  <c r="K21" i="12"/>
  <c r="J21" i="12"/>
  <c r="I21" i="12"/>
  <c r="H21" i="12"/>
  <c r="S20" i="12"/>
  <c r="R20" i="12"/>
  <c r="Q20" i="12"/>
  <c r="P20" i="12"/>
  <c r="O20" i="12"/>
  <c r="N20" i="12"/>
  <c r="M20" i="12"/>
  <c r="L20" i="12"/>
  <c r="K20" i="12"/>
  <c r="J20" i="12"/>
  <c r="I20" i="12"/>
  <c r="H20" i="12"/>
  <c r="S19" i="12"/>
  <c r="R19" i="12"/>
  <c r="Q19" i="12"/>
  <c r="P19" i="12"/>
  <c r="O19" i="12"/>
  <c r="N19" i="12"/>
  <c r="M19" i="12"/>
  <c r="L19" i="12"/>
  <c r="K19" i="12"/>
  <c r="J19" i="12"/>
  <c r="I19" i="12"/>
  <c r="H19" i="12"/>
  <c r="S18" i="12"/>
  <c r="R18" i="12"/>
  <c r="Q18" i="12"/>
  <c r="P18" i="12"/>
  <c r="O18" i="12"/>
  <c r="N18" i="12"/>
  <c r="M18" i="12"/>
  <c r="L18" i="12"/>
  <c r="K18" i="12"/>
  <c r="J18" i="12"/>
  <c r="I18" i="12"/>
  <c r="H18" i="12"/>
  <c r="S17" i="12"/>
  <c r="R17" i="12"/>
  <c r="Q17" i="12"/>
  <c r="P17" i="12"/>
  <c r="O17" i="12"/>
  <c r="N17" i="12"/>
  <c r="M17" i="12"/>
  <c r="L17" i="12"/>
  <c r="K17" i="12"/>
  <c r="J17" i="12"/>
  <c r="I17" i="12"/>
  <c r="H17" i="12"/>
  <c r="S16" i="12"/>
  <c r="R16" i="12"/>
  <c r="Q16" i="12"/>
  <c r="P16" i="12"/>
  <c r="O16" i="12"/>
  <c r="N16" i="12"/>
  <c r="M16" i="12"/>
  <c r="L16" i="12"/>
  <c r="K16" i="12"/>
  <c r="J16" i="12"/>
  <c r="I16" i="12"/>
  <c r="H16" i="12"/>
  <c r="S15" i="12"/>
  <c r="R15" i="12"/>
  <c r="Q15" i="12"/>
  <c r="P15" i="12"/>
  <c r="O15" i="12"/>
  <c r="N15" i="12"/>
  <c r="M15" i="12"/>
  <c r="L15" i="12"/>
  <c r="K15" i="12"/>
  <c r="J15" i="12"/>
  <c r="I15" i="12"/>
  <c r="H15" i="12"/>
  <c r="S14" i="12"/>
  <c r="R14" i="12"/>
  <c r="Q14" i="12"/>
  <c r="P14" i="12"/>
  <c r="O14" i="12"/>
  <c r="N14" i="12"/>
  <c r="M14" i="12"/>
  <c r="L14" i="12"/>
  <c r="K14" i="12"/>
  <c r="J14" i="12"/>
  <c r="I14" i="12"/>
  <c r="H14" i="12"/>
  <c r="S13" i="12"/>
  <c r="R13" i="12"/>
  <c r="Q13" i="12"/>
  <c r="P13" i="12"/>
  <c r="O13" i="12"/>
  <c r="N13" i="12"/>
  <c r="M13" i="12"/>
  <c r="L13" i="12"/>
  <c r="K13" i="12"/>
  <c r="J13" i="12"/>
  <c r="I13" i="12"/>
  <c r="H13" i="12"/>
  <c r="S12" i="12"/>
  <c r="R12" i="12"/>
  <c r="Q12" i="12"/>
  <c r="P12" i="12"/>
  <c r="O12" i="12"/>
  <c r="N12" i="12"/>
  <c r="M12" i="12"/>
  <c r="L12" i="12"/>
  <c r="K12" i="12"/>
  <c r="J12" i="12"/>
  <c r="I12" i="12"/>
  <c r="H12" i="12"/>
  <c r="S11" i="12"/>
  <c r="R11" i="12"/>
  <c r="Q11" i="12"/>
  <c r="P11" i="12"/>
  <c r="O11" i="12"/>
  <c r="N11" i="12"/>
  <c r="M11" i="12"/>
  <c r="L11" i="12"/>
  <c r="K11" i="12"/>
  <c r="J11" i="12"/>
  <c r="I11" i="12"/>
  <c r="H11" i="12"/>
  <c r="S10" i="12"/>
  <c r="R10" i="12"/>
  <c r="Q10" i="12"/>
  <c r="P10" i="12"/>
  <c r="O10" i="12"/>
  <c r="N10" i="12"/>
  <c r="M10" i="12"/>
  <c r="L10" i="12"/>
  <c r="K10" i="12"/>
  <c r="J10" i="12"/>
  <c r="I10" i="12"/>
  <c r="H10" i="12"/>
  <c r="S9" i="12"/>
  <c r="R9" i="12"/>
  <c r="Q9" i="12"/>
  <c r="P9" i="12"/>
  <c r="O9" i="12"/>
  <c r="N9" i="12"/>
  <c r="M9" i="12"/>
  <c r="L9" i="12"/>
  <c r="K9" i="12"/>
  <c r="J9" i="12"/>
  <c r="I9" i="12"/>
  <c r="H9" i="12"/>
  <c r="S8" i="12"/>
  <c r="R8" i="12"/>
  <c r="Q8" i="12"/>
  <c r="P8" i="12"/>
  <c r="O8" i="12"/>
  <c r="N8" i="12"/>
  <c r="M8" i="12"/>
  <c r="L8" i="12"/>
  <c r="K8" i="12"/>
  <c r="J8" i="12"/>
  <c r="I8" i="12"/>
  <c r="H8" i="12"/>
  <c r="S7" i="12"/>
  <c r="R7" i="12"/>
  <c r="Q7" i="12"/>
  <c r="P7" i="12"/>
  <c r="O7" i="12"/>
  <c r="N7" i="12"/>
  <c r="M7" i="12"/>
  <c r="L7" i="12"/>
  <c r="K7" i="12"/>
  <c r="J7" i="12"/>
  <c r="I7" i="12"/>
  <c r="H7" i="12"/>
  <c r="S6" i="12"/>
  <c r="S25" i="12" s="1"/>
  <c r="R6" i="12"/>
  <c r="R25" i="12" s="1"/>
  <c r="P16" i="1" s="1"/>
  <c r="Q6" i="12"/>
  <c r="Q25" i="12" s="1"/>
  <c r="O16" i="1" s="1"/>
  <c r="P6" i="12"/>
  <c r="O6" i="12"/>
  <c r="O25" i="12" s="1"/>
  <c r="N6" i="12"/>
  <c r="M6" i="12"/>
  <c r="M25" i="12" s="1"/>
  <c r="K16" i="1" s="1"/>
  <c r="L6" i="12"/>
  <c r="L25" i="12" s="1"/>
  <c r="J16" i="1" s="1"/>
  <c r="K6" i="12"/>
  <c r="K25" i="12" s="1"/>
  <c r="J6" i="12"/>
  <c r="J25" i="12" s="1"/>
  <c r="H16" i="1" s="1"/>
  <c r="I6" i="12"/>
  <c r="I25" i="12" s="1"/>
  <c r="G16" i="1" s="1"/>
  <c r="H6" i="12"/>
  <c r="S41" i="11"/>
  <c r="R41" i="11"/>
  <c r="Q41" i="11"/>
  <c r="O34" i="1" s="1"/>
  <c r="P41" i="11"/>
  <c r="N34" i="1" s="1"/>
  <c r="O41" i="11"/>
  <c r="N41" i="11"/>
  <c r="I41" i="11"/>
  <c r="H41" i="11"/>
  <c r="M30" i="11"/>
  <c r="M41" i="11" s="1"/>
  <c r="L30" i="11"/>
  <c r="L41" i="11" s="1"/>
  <c r="K30" i="11"/>
  <c r="K41" i="11" s="1"/>
  <c r="J30" i="11"/>
  <c r="J41" i="11" s="1"/>
  <c r="G29" i="11"/>
  <c r="S24" i="11"/>
  <c r="R24" i="11"/>
  <c r="Q24" i="11"/>
  <c r="P24" i="11"/>
  <c r="O24" i="11"/>
  <c r="N24" i="11"/>
  <c r="M24" i="11"/>
  <c r="L24" i="11"/>
  <c r="K24" i="11"/>
  <c r="J24" i="11"/>
  <c r="I24" i="11"/>
  <c r="H24" i="11"/>
  <c r="S23" i="11"/>
  <c r="R23" i="11"/>
  <c r="Q23" i="11"/>
  <c r="P23" i="11"/>
  <c r="O23" i="11"/>
  <c r="N23" i="11"/>
  <c r="M23" i="11"/>
  <c r="L23" i="11"/>
  <c r="K23" i="11"/>
  <c r="J23" i="11"/>
  <c r="I23" i="11"/>
  <c r="H23" i="11"/>
  <c r="S22" i="11"/>
  <c r="R22" i="11"/>
  <c r="Q22" i="11"/>
  <c r="P22" i="11"/>
  <c r="O22" i="11"/>
  <c r="N22" i="11"/>
  <c r="M22" i="11"/>
  <c r="L22" i="11"/>
  <c r="K22" i="11"/>
  <c r="J22" i="11"/>
  <c r="I22" i="11"/>
  <c r="H22" i="11"/>
  <c r="S21" i="11"/>
  <c r="R21" i="11"/>
  <c r="Q21" i="11"/>
  <c r="P21" i="11"/>
  <c r="O21" i="11"/>
  <c r="N21" i="11"/>
  <c r="M21" i="11"/>
  <c r="L21" i="11"/>
  <c r="K21" i="11"/>
  <c r="J21" i="11"/>
  <c r="I21" i="11"/>
  <c r="H21" i="11"/>
  <c r="S20" i="11"/>
  <c r="R20" i="11"/>
  <c r="Q20" i="11"/>
  <c r="P20" i="11"/>
  <c r="O20" i="11"/>
  <c r="N20" i="11"/>
  <c r="M20" i="11"/>
  <c r="L20" i="11"/>
  <c r="K20" i="11"/>
  <c r="J20" i="11"/>
  <c r="I20" i="11"/>
  <c r="H20" i="11"/>
  <c r="S19" i="11"/>
  <c r="R19" i="11"/>
  <c r="Q19" i="11"/>
  <c r="P19" i="11"/>
  <c r="O19" i="11"/>
  <c r="N19" i="11"/>
  <c r="M19" i="11"/>
  <c r="L19" i="11"/>
  <c r="K19" i="11"/>
  <c r="J19" i="11"/>
  <c r="I19" i="11"/>
  <c r="H19" i="11"/>
  <c r="S18" i="11"/>
  <c r="R18" i="11"/>
  <c r="Q18" i="11"/>
  <c r="P18" i="11"/>
  <c r="O18" i="11"/>
  <c r="N18" i="11"/>
  <c r="M18" i="11"/>
  <c r="L18" i="11"/>
  <c r="K18" i="11"/>
  <c r="J18" i="11"/>
  <c r="I18" i="11"/>
  <c r="H18" i="11"/>
  <c r="S17" i="11"/>
  <c r="R17" i="11"/>
  <c r="Q17" i="11"/>
  <c r="P17" i="11"/>
  <c r="O17" i="11"/>
  <c r="N17" i="11"/>
  <c r="M17" i="11"/>
  <c r="L17" i="11"/>
  <c r="K17" i="11"/>
  <c r="J17" i="11"/>
  <c r="I17" i="11"/>
  <c r="H17" i="11"/>
  <c r="S16" i="11"/>
  <c r="R16" i="11"/>
  <c r="Q16" i="11"/>
  <c r="P16" i="11"/>
  <c r="O16" i="11"/>
  <c r="N16" i="11"/>
  <c r="M16" i="11"/>
  <c r="L16" i="11"/>
  <c r="K16" i="11"/>
  <c r="J16" i="11"/>
  <c r="I16" i="11"/>
  <c r="H16" i="11"/>
  <c r="S15" i="11"/>
  <c r="R15" i="11"/>
  <c r="Q15" i="11"/>
  <c r="P15" i="11"/>
  <c r="O15" i="11"/>
  <c r="N15" i="11"/>
  <c r="M15" i="11"/>
  <c r="L15" i="11"/>
  <c r="K15" i="11"/>
  <c r="J15" i="11"/>
  <c r="I15" i="11"/>
  <c r="H15" i="11"/>
  <c r="S14" i="11"/>
  <c r="R14" i="11"/>
  <c r="Q14" i="11"/>
  <c r="P14" i="11"/>
  <c r="O14" i="11"/>
  <c r="N14" i="11"/>
  <c r="M14" i="11"/>
  <c r="L14" i="11"/>
  <c r="K14" i="11"/>
  <c r="J14" i="11"/>
  <c r="I14" i="11"/>
  <c r="H14" i="11"/>
  <c r="S13" i="11"/>
  <c r="R13" i="11"/>
  <c r="Q13" i="11"/>
  <c r="P13" i="11"/>
  <c r="O13" i="11"/>
  <c r="N13" i="11"/>
  <c r="M13" i="11"/>
  <c r="L13" i="11"/>
  <c r="K13" i="11"/>
  <c r="J13" i="11"/>
  <c r="I13" i="11"/>
  <c r="H13" i="11"/>
  <c r="S12" i="11"/>
  <c r="R12" i="11"/>
  <c r="Q12" i="11"/>
  <c r="P12" i="11"/>
  <c r="O12" i="11"/>
  <c r="N12" i="11"/>
  <c r="M12" i="11"/>
  <c r="L12" i="11"/>
  <c r="K12" i="11"/>
  <c r="J12" i="11"/>
  <c r="I12" i="11"/>
  <c r="H12" i="11"/>
  <c r="S11" i="11"/>
  <c r="R11" i="11"/>
  <c r="Q11" i="11"/>
  <c r="P11" i="11"/>
  <c r="O11" i="11"/>
  <c r="N11" i="11"/>
  <c r="M11" i="11"/>
  <c r="L11" i="11"/>
  <c r="K11" i="11"/>
  <c r="J11" i="11"/>
  <c r="I11" i="11"/>
  <c r="H11" i="11"/>
  <c r="S10" i="11"/>
  <c r="R10" i="11"/>
  <c r="Q10" i="11"/>
  <c r="P10" i="11"/>
  <c r="O10" i="11"/>
  <c r="N10" i="11"/>
  <c r="M10" i="11"/>
  <c r="L10" i="11"/>
  <c r="K10" i="11"/>
  <c r="J10" i="11"/>
  <c r="I10" i="11"/>
  <c r="H10" i="11"/>
  <c r="S9" i="11"/>
  <c r="R9" i="11"/>
  <c r="Q9" i="11"/>
  <c r="P9" i="11"/>
  <c r="O9" i="11"/>
  <c r="N9" i="11"/>
  <c r="M9" i="11"/>
  <c r="L9" i="11"/>
  <c r="K9" i="11"/>
  <c r="J9" i="11"/>
  <c r="I9" i="11"/>
  <c r="H9" i="11"/>
  <c r="S8" i="11"/>
  <c r="R8" i="11"/>
  <c r="Q8" i="11"/>
  <c r="P8" i="11"/>
  <c r="O8" i="11"/>
  <c r="N8" i="11"/>
  <c r="M8" i="11"/>
  <c r="L8" i="11"/>
  <c r="K8" i="11"/>
  <c r="J8" i="11"/>
  <c r="I8" i="11"/>
  <c r="H8" i="11"/>
  <c r="S7" i="11"/>
  <c r="R7" i="11"/>
  <c r="Q7" i="11"/>
  <c r="P7" i="11"/>
  <c r="O7" i="11"/>
  <c r="N7" i="11"/>
  <c r="M7" i="11"/>
  <c r="L7" i="11"/>
  <c r="K7" i="11"/>
  <c r="J7" i="11"/>
  <c r="I7" i="11"/>
  <c r="H7" i="11"/>
  <c r="S6" i="11"/>
  <c r="R6" i="11"/>
  <c r="R25" i="11" s="1"/>
  <c r="Q6" i="11"/>
  <c r="P6" i="11"/>
  <c r="P25" i="11" s="1"/>
  <c r="N15" i="1" s="1"/>
  <c r="O6" i="11"/>
  <c r="O25" i="11" s="1"/>
  <c r="M15" i="1" s="1"/>
  <c r="N6" i="11"/>
  <c r="N25" i="11" s="1"/>
  <c r="M6" i="11"/>
  <c r="M25" i="11" s="1"/>
  <c r="K15" i="1" s="1"/>
  <c r="L6" i="11"/>
  <c r="L25" i="11" s="1"/>
  <c r="J15" i="1" s="1"/>
  <c r="K6" i="11"/>
  <c r="J6" i="11"/>
  <c r="J25" i="11" s="1"/>
  <c r="I6" i="11"/>
  <c r="H6" i="11"/>
  <c r="H25" i="11" s="1"/>
  <c r="F15" i="1" s="1"/>
  <c r="S41" i="10"/>
  <c r="Q33" i="1" s="1"/>
  <c r="R41" i="10"/>
  <c r="Q41" i="10"/>
  <c r="P41" i="10"/>
  <c r="N33" i="1" s="1"/>
  <c r="O41" i="10"/>
  <c r="N41" i="10"/>
  <c r="M41" i="10"/>
  <c r="L41" i="10"/>
  <c r="J33" i="1" s="1"/>
  <c r="K41" i="10"/>
  <c r="I33" i="1" s="1"/>
  <c r="J41" i="10"/>
  <c r="H41" i="10"/>
  <c r="F33" i="1" s="1"/>
  <c r="G41" i="10"/>
  <c r="I38" i="10"/>
  <c r="I37" i="10"/>
  <c r="I36" i="10"/>
  <c r="I35" i="10"/>
  <c r="I34" i="10"/>
  <c r="I33" i="10"/>
  <c r="I32" i="10"/>
  <c r="I31" i="10"/>
  <c r="I30" i="10"/>
  <c r="I29" i="10"/>
  <c r="K25" i="10"/>
  <c r="I14" i="1" s="1"/>
  <c r="S24" i="10"/>
  <c r="R24" i="10"/>
  <c r="Q24" i="10"/>
  <c r="P24" i="10"/>
  <c r="O24" i="10"/>
  <c r="N24" i="10"/>
  <c r="M24" i="10"/>
  <c r="L24" i="10"/>
  <c r="K24" i="10"/>
  <c r="J24" i="10"/>
  <c r="I24" i="10"/>
  <c r="H24" i="10"/>
  <c r="S23" i="10"/>
  <c r="R23" i="10"/>
  <c r="Q23" i="10"/>
  <c r="P23" i="10"/>
  <c r="O23" i="10"/>
  <c r="N23" i="10"/>
  <c r="M23" i="10"/>
  <c r="L23" i="10"/>
  <c r="K23" i="10"/>
  <c r="J23" i="10"/>
  <c r="I23" i="10"/>
  <c r="H23" i="10"/>
  <c r="S22" i="10"/>
  <c r="R22" i="10"/>
  <c r="Q22" i="10"/>
  <c r="P22" i="10"/>
  <c r="O22" i="10"/>
  <c r="N22" i="10"/>
  <c r="M22" i="10"/>
  <c r="L22" i="10"/>
  <c r="K22" i="10"/>
  <c r="J22" i="10"/>
  <c r="I22" i="10"/>
  <c r="H22" i="10"/>
  <c r="S21" i="10"/>
  <c r="R21" i="10"/>
  <c r="Q21" i="10"/>
  <c r="P21" i="10"/>
  <c r="O21" i="10"/>
  <c r="N21" i="10"/>
  <c r="M21" i="10"/>
  <c r="L21" i="10"/>
  <c r="K21" i="10"/>
  <c r="J21" i="10"/>
  <c r="I21" i="10"/>
  <c r="H21" i="10"/>
  <c r="S20" i="10"/>
  <c r="R20" i="10"/>
  <c r="Q20" i="10"/>
  <c r="P20" i="10"/>
  <c r="O20" i="10"/>
  <c r="N20" i="10"/>
  <c r="M20" i="10"/>
  <c r="L20" i="10"/>
  <c r="K20" i="10"/>
  <c r="J20" i="10"/>
  <c r="I20" i="10"/>
  <c r="H20" i="10"/>
  <c r="S19" i="10"/>
  <c r="R19" i="10"/>
  <c r="Q19" i="10"/>
  <c r="P19" i="10"/>
  <c r="O19" i="10"/>
  <c r="N19" i="10"/>
  <c r="M19" i="10"/>
  <c r="L19" i="10"/>
  <c r="K19" i="10"/>
  <c r="J19" i="10"/>
  <c r="I19" i="10"/>
  <c r="H19" i="10"/>
  <c r="S18" i="10"/>
  <c r="R18" i="10"/>
  <c r="Q18" i="10"/>
  <c r="P18" i="10"/>
  <c r="O18" i="10"/>
  <c r="N18" i="10"/>
  <c r="M18" i="10"/>
  <c r="L18" i="10"/>
  <c r="K18" i="10"/>
  <c r="J18" i="10"/>
  <c r="I18" i="10"/>
  <c r="H18" i="10"/>
  <c r="S17" i="10"/>
  <c r="R17" i="10"/>
  <c r="Q17" i="10"/>
  <c r="P17" i="10"/>
  <c r="O17" i="10"/>
  <c r="N17" i="10"/>
  <c r="M17" i="10"/>
  <c r="L17" i="10"/>
  <c r="K17" i="10"/>
  <c r="J17" i="10"/>
  <c r="I17" i="10"/>
  <c r="H17" i="10"/>
  <c r="S16" i="10"/>
  <c r="R16" i="10"/>
  <c r="Q16" i="10"/>
  <c r="P16" i="10"/>
  <c r="O16" i="10"/>
  <c r="N16" i="10"/>
  <c r="M16" i="10"/>
  <c r="L16" i="10"/>
  <c r="K16" i="10"/>
  <c r="J16" i="10"/>
  <c r="I16" i="10"/>
  <c r="H16" i="10"/>
  <c r="S15" i="10"/>
  <c r="R15" i="10"/>
  <c r="Q15" i="10"/>
  <c r="P15" i="10"/>
  <c r="O15" i="10"/>
  <c r="N15" i="10"/>
  <c r="M15" i="10"/>
  <c r="L15" i="10"/>
  <c r="K15" i="10"/>
  <c r="J15" i="10"/>
  <c r="I15" i="10"/>
  <c r="H15" i="10"/>
  <c r="S14" i="10"/>
  <c r="R14" i="10"/>
  <c r="Q14" i="10"/>
  <c r="P14" i="10"/>
  <c r="O14" i="10"/>
  <c r="N14" i="10"/>
  <c r="M14" i="10"/>
  <c r="L14" i="10"/>
  <c r="K14" i="10"/>
  <c r="J14" i="10"/>
  <c r="I14" i="10"/>
  <c r="H14" i="10"/>
  <c r="S13" i="10"/>
  <c r="R13" i="10"/>
  <c r="Q13" i="10"/>
  <c r="P13" i="10"/>
  <c r="O13" i="10"/>
  <c r="N13" i="10"/>
  <c r="M13" i="10"/>
  <c r="L13" i="10"/>
  <c r="K13" i="10"/>
  <c r="J13" i="10"/>
  <c r="I13" i="10"/>
  <c r="H13" i="10"/>
  <c r="S12" i="10"/>
  <c r="R12" i="10"/>
  <c r="Q12" i="10"/>
  <c r="P12" i="10"/>
  <c r="O12" i="10"/>
  <c r="N12" i="10"/>
  <c r="M12" i="10"/>
  <c r="L12" i="10"/>
  <c r="K12" i="10"/>
  <c r="J12" i="10"/>
  <c r="I12" i="10"/>
  <c r="H12" i="10"/>
  <c r="S11" i="10"/>
  <c r="R11" i="10"/>
  <c r="Q11" i="10"/>
  <c r="P11" i="10"/>
  <c r="O11" i="10"/>
  <c r="N11" i="10"/>
  <c r="M11" i="10"/>
  <c r="L11" i="10"/>
  <c r="K11" i="10"/>
  <c r="J11" i="10"/>
  <c r="I11" i="10"/>
  <c r="H11" i="10"/>
  <c r="S10" i="10"/>
  <c r="R10" i="10"/>
  <c r="Q10" i="10"/>
  <c r="P10" i="10"/>
  <c r="O10" i="10"/>
  <c r="N10" i="10"/>
  <c r="M10" i="10"/>
  <c r="L10" i="10"/>
  <c r="K10" i="10"/>
  <c r="J10" i="10"/>
  <c r="I10" i="10"/>
  <c r="H10" i="10"/>
  <c r="S9" i="10"/>
  <c r="R9" i="10"/>
  <c r="Q9" i="10"/>
  <c r="P9" i="10"/>
  <c r="O9" i="10"/>
  <c r="N9" i="10"/>
  <c r="M9" i="10"/>
  <c r="L9" i="10"/>
  <c r="K9" i="10"/>
  <c r="J9" i="10"/>
  <c r="I9" i="10"/>
  <c r="H9" i="10"/>
  <c r="S8" i="10"/>
  <c r="R8" i="10"/>
  <c r="Q8" i="10"/>
  <c r="P8" i="10"/>
  <c r="O8" i="10"/>
  <c r="N8" i="10"/>
  <c r="M8" i="10"/>
  <c r="L8" i="10"/>
  <c r="K8" i="10"/>
  <c r="J8" i="10"/>
  <c r="I8" i="10"/>
  <c r="H8" i="10"/>
  <c r="S7" i="10"/>
  <c r="R7" i="10"/>
  <c r="Q7" i="10"/>
  <c r="P7" i="10"/>
  <c r="O7" i="10"/>
  <c r="N7" i="10"/>
  <c r="M7" i="10"/>
  <c r="L7" i="10"/>
  <c r="K7" i="10"/>
  <c r="J7" i="10"/>
  <c r="I7" i="10"/>
  <c r="H7" i="10"/>
  <c r="S6" i="10"/>
  <c r="S25" i="10" s="1"/>
  <c r="Q14" i="1" s="1"/>
  <c r="R6" i="10"/>
  <c r="R25" i="10" s="1"/>
  <c r="P14" i="1" s="1"/>
  <c r="Q6" i="10"/>
  <c r="Q25" i="10" s="1"/>
  <c r="O14" i="1" s="1"/>
  <c r="P6" i="10"/>
  <c r="O6" i="10"/>
  <c r="O25" i="10" s="1"/>
  <c r="M14" i="1" s="1"/>
  <c r="N6" i="10"/>
  <c r="M6" i="10"/>
  <c r="M25" i="10" s="1"/>
  <c r="K14" i="1" s="1"/>
  <c r="L6" i="10"/>
  <c r="L25" i="10" s="1"/>
  <c r="J14" i="1" s="1"/>
  <c r="K6" i="10"/>
  <c r="J6" i="10"/>
  <c r="J25" i="10" s="1"/>
  <c r="H14" i="1" s="1"/>
  <c r="I6" i="10"/>
  <c r="I25" i="10" s="1"/>
  <c r="G14" i="1" s="1"/>
  <c r="H6" i="10"/>
  <c r="S41" i="9"/>
  <c r="Q32" i="1" s="1"/>
  <c r="R41" i="9"/>
  <c r="Q41" i="9"/>
  <c r="O32" i="1" s="1"/>
  <c r="P41" i="9"/>
  <c r="N32" i="1" s="1"/>
  <c r="O41" i="9"/>
  <c r="M32" i="1" s="1"/>
  <c r="N41" i="9"/>
  <c r="M41" i="9"/>
  <c r="K32" i="1" s="1"/>
  <c r="L41" i="9"/>
  <c r="K41" i="9"/>
  <c r="I32" i="1" s="1"/>
  <c r="J41" i="9"/>
  <c r="I41" i="9"/>
  <c r="G32" i="1" s="1"/>
  <c r="H41" i="9"/>
  <c r="G41" i="9"/>
  <c r="S24" i="9"/>
  <c r="R24" i="9"/>
  <c r="Q24" i="9"/>
  <c r="P24" i="9"/>
  <c r="O24" i="9"/>
  <c r="N24" i="9"/>
  <c r="M24" i="9"/>
  <c r="L24" i="9"/>
  <c r="K24" i="9"/>
  <c r="J24" i="9"/>
  <c r="I24" i="9"/>
  <c r="H24" i="9"/>
  <c r="S23" i="9"/>
  <c r="R23" i="9"/>
  <c r="Q23" i="9"/>
  <c r="P23" i="9"/>
  <c r="O23" i="9"/>
  <c r="N23" i="9"/>
  <c r="M23" i="9"/>
  <c r="L23" i="9"/>
  <c r="K23" i="9"/>
  <c r="J23" i="9"/>
  <c r="I23" i="9"/>
  <c r="H23" i="9"/>
  <c r="S22" i="9"/>
  <c r="R22" i="9"/>
  <c r="Q22" i="9"/>
  <c r="P22" i="9"/>
  <c r="O22" i="9"/>
  <c r="N22" i="9"/>
  <c r="M22" i="9"/>
  <c r="L22" i="9"/>
  <c r="K22" i="9"/>
  <c r="J22" i="9"/>
  <c r="I22" i="9"/>
  <c r="H22" i="9"/>
  <c r="S21" i="9"/>
  <c r="R21" i="9"/>
  <c r="Q21" i="9"/>
  <c r="P21" i="9"/>
  <c r="O21" i="9"/>
  <c r="N21" i="9"/>
  <c r="M21" i="9"/>
  <c r="L21" i="9"/>
  <c r="K21" i="9"/>
  <c r="J21" i="9"/>
  <c r="I21" i="9"/>
  <c r="H21" i="9"/>
  <c r="S20" i="9"/>
  <c r="R20" i="9"/>
  <c r="Q20" i="9"/>
  <c r="P20" i="9"/>
  <c r="O20" i="9"/>
  <c r="N20" i="9"/>
  <c r="M20" i="9"/>
  <c r="L20" i="9"/>
  <c r="K20" i="9"/>
  <c r="J20" i="9"/>
  <c r="I20" i="9"/>
  <c r="H20" i="9"/>
  <c r="S19" i="9"/>
  <c r="R19" i="9"/>
  <c r="Q19" i="9"/>
  <c r="P19" i="9"/>
  <c r="O19" i="9"/>
  <c r="N19" i="9"/>
  <c r="M19" i="9"/>
  <c r="L19" i="9"/>
  <c r="K19" i="9"/>
  <c r="J19" i="9"/>
  <c r="I19" i="9"/>
  <c r="H19" i="9"/>
  <c r="S18" i="9"/>
  <c r="R18" i="9"/>
  <c r="Q18" i="9"/>
  <c r="P18" i="9"/>
  <c r="O18" i="9"/>
  <c r="N18" i="9"/>
  <c r="M18" i="9"/>
  <c r="L18" i="9"/>
  <c r="K18" i="9"/>
  <c r="J18" i="9"/>
  <c r="I18" i="9"/>
  <c r="H18" i="9"/>
  <c r="S17" i="9"/>
  <c r="R17" i="9"/>
  <c r="Q17" i="9"/>
  <c r="P17" i="9"/>
  <c r="O17" i="9"/>
  <c r="N17" i="9"/>
  <c r="M17" i="9"/>
  <c r="L17" i="9"/>
  <c r="K17" i="9"/>
  <c r="J17" i="9"/>
  <c r="I17" i="9"/>
  <c r="H17" i="9"/>
  <c r="S16" i="9"/>
  <c r="R16" i="9"/>
  <c r="Q16" i="9"/>
  <c r="P16" i="9"/>
  <c r="O16" i="9"/>
  <c r="N16" i="9"/>
  <c r="M16" i="9"/>
  <c r="L16" i="9"/>
  <c r="K16" i="9"/>
  <c r="J16" i="9"/>
  <c r="I16" i="9"/>
  <c r="H16" i="9"/>
  <c r="S15" i="9"/>
  <c r="R15" i="9"/>
  <c r="Q15" i="9"/>
  <c r="P15" i="9"/>
  <c r="O15" i="9"/>
  <c r="N15" i="9"/>
  <c r="M15" i="9"/>
  <c r="L15" i="9"/>
  <c r="K15" i="9"/>
  <c r="J15" i="9"/>
  <c r="I15" i="9"/>
  <c r="H15" i="9"/>
  <c r="S14" i="9"/>
  <c r="R14" i="9"/>
  <c r="Q14" i="9"/>
  <c r="P14" i="9"/>
  <c r="O14" i="9"/>
  <c r="N14" i="9"/>
  <c r="M14" i="9"/>
  <c r="L14" i="9"/>
  <c r="K14" i="9"/>
  <c r="J14" i="9"/>
  <c r="I14" i="9"/>
  <c r="H14" i="9"/>
  <c r="S13" i="9"/>
  <c r="R13" i="9"/>
  <c r="Q13" i="9"/>
  <c r="P13" i="9"/>
  <c r="O13" i="9"/>
  <c r="N13" i="9"/>
  <c r="M13" i="9"/>
  <c r="L13" i="9"/>
  <c r="K13" i="9"/>
  <c r="J13" i="9"/>
  <c r="I13" i="9"/>
  <c r="H13" i="9"/>
  <c r="S12" i="9"/>
  <c r="R12" i="9"/>
  <c r="Q12" i="9"/>
  <c r="P12" i="9"/>
  <c r="O12" i="9"/>
  <c r="N12" i="9"/>
  <c r="M12" i="9"/>
  <c r="L12" i="9"/>
  <c r="K12" i="9"/>
  <c r="J12" i="9"/>
  <c r="I12" i="9"/>
  <c r="H12" i="9"/>
  <c r="S11" i="9"/>
  <c r="R11" i="9"/>
  <c r="Q11" i="9"/>
  <c r="P11" i="9"/>
  <c r="O11" i="9"/>
  <c r="N11" i="9"/>
  <c r="M11" i="9"/>
  <c r="L11" i="9"/>
  <c r="K11" i="9"/>
  <c r="J11" i="9"/>
  <c r="I11" i="9"/>
  <c r="H11" i="9"/>
  <c r="S10" i="9"/>
  <c r="R10" i="9"/>
  <c r="Q10" i="9"/>
  <c r="P10" i="9"/>
  <c r="O10" i="9"/>
  <c r="N10" i="9"/>
  <c r="M10" i="9"/>
  <c r="L10" i="9"/>
  <c r="K10" i="9"/>
  <c r="J10" i="9"/>
  <c r="I10" i="9"/>
  <c r="H10" i="9"/>
  <c r="S9" i="9"/>
  <c r="R9" i="9"/>
  <c r="Q9" i="9"/>
  <c r="P9" i="9"/>
  <c r="O9" i="9"/>
  <c r="N9" i="9"/>
  <c r="M9" i="9"/>
  <c r="L9" i="9"/>
  <c r="K9" i="9"/>
  <c r="J9" i="9"/>
  <c r="I9" i="9"/>
  <c r="H9" i="9"/>
  <c r="S8" i="9"/>
  <c r="R8" i="9"/>
  <c r="Q8" i="9"/>
  <c r="P8" i="9"/>
  <c r="O8" i="9"/>
  <c r="N8" i="9"/>
  <c r="M8" i="9"/>
  <c r="L8" i="9"/>
  <c r="K8" i="9"/>
  <c r="J8" i="9"/>
  <c r="I8" i="9"/>
  <c r="H8" i="9"/>
  <c r="S7" i="9"/>
  <c r="R7" i="9"/>
  <c r="R25" i="9" s="1"/>
  <c r="P13" i="1" s="1"/>
  <c r="Q7" i="9"/>
  <c r="P7" i="9"/>
  <c r="O7" i="9"/>
  <c r="N7" i="9"/>
  <c r="M7" i="9"/>
  <c r="L7" i="9"/>
  <c r="K7" i="9"/>
  <c r="J7" i="9"/>
  <c r="I7" i="9"/>
  <c r="H7" i="9"/>
  <c r="S6" i="9"/>
  <c r="S25" i="9" s="1"/>
  <c r="R6" i="9"/>
  <c r="Q6" i="9"/>
  <c r="Q25" i="9" s="1"/>
  <c r="P6" i="9"/>
  <c r="O6" i="9"/>
  <c r="N6" i="9"/>
  <c r="N25" i="9" s="1"/>
  <c r="L13" i="1" s="1"/>
  <c r="M6" i="9"/>
  <c r="M25" i="9" s="1"/>
  <c r="L6" i="9"/>
  <c r="K6" i="9"/>
  <c r="K25" i="9" s="1"/>
  <c r="J6" i="9"/>
  <c r="J25" i="9" s="1"/>
  <c r="H13" i="1" s="1"/>
  <c r="I6" i="9"/>
  <c r="I25" i="9" s="1"/>
  <c r="H6" i="9"/>
  <c r="H25" i="9" s="1"/>
  <c r="F13" i="1" s="1"/>
  <c r="S41" i="8"/>
  <c r="R41" i="8"/>
  <c r="P31" i="1" s="1"/>
  <c r="Q41" i="8"/>
  <c r="P41" i="8"/>
  <c r="N31" i="1" s="1"/>
  <c r="O41" i="8"/>
  <c r="N41" i="8"/>
  <c r="M41" i="8"/>
  <c r="L41" i="8"/>
  <c r="J31" i="1" s="1"/>
  <c r="K41" i="8"/>
  <c r="J41" i="8"/>
  <c r="H31" i="1" s="1"/>
  <c r="I41" i="8"/>
  <c r="H41" i="8"/>
  <c r="F31" i="1" s="1"/>
  <c r="G41" i="8"/>
  <c r="I25" i="8"/>
  <c r="G12" i="1" s="1"/>
  <c r="S24" i="8"/>
  <c r="R24" i="8"/>
  <c r="Q24" i="8"/>
  <c r="P24" i="8"/>
  <c r="O24" i="8"/>
  <c r="N24" i="8"/>
  <c r="M24" i="8"/>
  <c r="L24" i="8"/>
  <c r="K24" i="8"/>
  <c r="J24" i="8"/>
  <c r="I24" i="8"/>
  <c r="H24" i="8"/>
  <c r="S23" i="8"/>
  <c r="R23" i="8"/>
  <c r="Q23" i="8"/>
  <c r="P23" i="8"/>
  <c r="O23" i="8"/>
  <c r="N23" i="8"/>
  <c r="M23" i="8"/>
  <c r="L23" i="8"/>
  <c r="K23" i="8"/>
  <c r="J23" i="8"/>
  <c r="I23" i="8"/>
  <c r="H23" i="8"/>
  <c r="S22" i="8"/>
  <c r="R22" i="8"/>
  <c r="Q22" i="8"/>
  <c r="P22" i="8"/>
  <c r="O22" i="8"/>
  <c r="N22" i="8"/>
  <c r="M22" i="8"/>
  <c r="L22" i="8"/>
  <c r="K22" i="8"/>
  <c r="J22" i="8"/>
  <c r="I22" i="8"/>
  <c r="H22" i="8"/>
  <c r="S21" i="8"/>
  <c r="R21" i="8"/>
  <c r="Q21" i="8"/>
  <c r="P21" i="8"/>
  <c r="O21" i="8"/>
  <c r="N21" i="8"/>
  <c r="M21" i="8"/>
  <c r="L21" i="8"/>
  <c r="K21" i="8"/>
  <c r="J21" i="8"/>
  <c r="I21" i="8"/>
  <c r="H21" i="8"/>
  <c r="S20" i="8"/>
  <c r="R20" i="8"/>
  <c r="Q20" i="8"/>
  <c r="P20" i="8"/>
  <c r="O20" i="8"/>
  <c r="N20" i="8"/>
  <c r="M20" i="8"/>
  <c r="L20" i="8"/>
  <c r="K20" i="8"/>
  <c r="J20" i="8"/>
  <c r="I20" i="8"/>
  <c r="H20" i="8"/>
  <c r="S19" i="8"/>
  <c r="R19" i="8"/>
  <c r="Q19" i="8"/>
  <c r="P19" i="8"/>
  <c r="O19" i="8"/>
  <c r="N19" i="8"/>
  <c r="M19" i="8"/>
  <c r="L19" i="8"/>
  <c r="K19" i="8"/>
  <c r="J19" i="8"/>
  <c r="I19" i="8"/>
  <c r="H19" i="8"/>
  <c r="S18" i="8"/>
  <c r="R18" i="8"/>
  <c r="Q18" i="8"/>
  <c r="P18" i="8"/>
  <c r="O18" i="8"/>
  <c r="N18" i="8"/>
  <c r="M18" i="8"/>
  <c r="L18" i="8"/>
  <c r="K18" i="8"/>
  <c r="J18" i="8"/>
  <c r="I18" i="8"/>
  <c r="H18" i="8"/>
  <c r="S17" i="8"/>
  <c r="R17" i="8"/>
  <c r="Q17" i="8"/>
  <c r="P17" i="8"/>
  <c r="O17" i="8"/>
  <c r="N17" i="8"/>
  <c r="M17" i="8"/>
  <c r="L17" i="8"/>
  <c r="K17" i="8"/>
  <c r="J17" i="8"/>
  <c r="I17" i="8"/>
  <c r="H17" i="8"/>
  <c r="S16" i="8"/>
  <c r="R16" i="8"/>
  <c r="Q16" i="8"/>
  <c r="P16" i="8"/>
  <c r="O16" i="8"/>
  <c r="N16" i="8"/>
  <c r="M16" i="8"/>
  <c r="L16" i="8"/>
  <c r="K16" i="8"/>
  <c r="J16" i="8"/>
  <c r="I16" i="8"/>
  <c r="H16" i="8"/>
  <c r="S15" i="8"/>
  <c r="R15" i="8"/>
  <c r="Q15" i="8"/>
  <c r="P15" i="8"/>
  <c r="O15" i="8"/>
  <c r="N15" i="8"/>
  <c r="M15" i="8"/>
  <c r="L15" i="8"/>
  <c r="K15" i="8"/>
  <c r="J15" i="8"/>
  <c r="I15" i="8"/>
  <c r="H15" i="8"/>
  <c r="S14" i="8"/>
  <c r="R14" i="8"/>
  <c r="Q14" i="8"/>
  <c r="P14" i="8"/>
  <c r="O14" i="8"/>
  <c r="N14" i="8"/>
  <c r="M14" i="8"/>
  <c r="L14" i="8"/>
  <c r="K14" i="8"/>
  <c r="J14" i="8"/>
  <c r="I14" i="8"/>
  <c r="H14" i="8"/>
  <c r="S13" i="8"/>
  <c r="R13" i="8"/>
  <c r="Q13" i="8"/>
  <c r="P13" i="8"/>
  <c r="O13" i="8"/>
  <c r="N13" i="8"/>
  <c r="M13" i="8"/>
  <c r="L13" i="8"/>
  <c r="K13" i="8"/>
  <c r="J13" i="8"/>
  <c r="I13" i="8"/>
  <c r="H13" i="8"/>
  <c r="S12" i="8"/>
  <c r="R12" i="8"/>
  <c r="Q12" i="8"/>
  <c r="P12" i="8"/>
  <c r="O12" i="8"/>
  <c r="N12" i="8"/>
  <c r="M12" i="8"/>
  <c r="L12" i="8"/>
  <c r="K12" i="8"/>
  <c r="J12" i="8"/>
  <c r="I12" i="8"/>
  <c r="H12" i="8"/>
  <c r="S11" i="8"/>
  <c r="R11" i="8"/>
  <c r="Q11" i="8"/>
  <c r="P11" i="8"/>
  <c r="O11" i="8"/>
  <c r="N11" i="8"/>
  <c r="M11" i="8"/>
  <c r="L11" i="8"/>
  <c r="K11" i="8"/>
  <c r="J11" i="8"/>
  <c r="I11" i="8"/>
  <c r="H11" i="8"/>
  <c r="S10" i="8"/>
  <c r="R10" i="8"/>
  <c r="Q10" i="8"/>
  <c r="P10" i="8"/>
  <c r="O10" i="8"/>
  <c r="N10" i="8"/>
  <c r="M10" i="8"/>
  <c r="L10" i="8"/>
  <c r="K10" i="8"/>
  <c r="J10" i="8"/>
  <c r="I10" i="8"/>
  <c r="H10" i="8"/>
  <c r="S9" i="8"/>
  <c r="R9" i="8"/>
  <c r="Q9" i="8"/>
  <c r="P9" i="8"/>
  <c r="O9" i="8"/>
  <c r="N9" i="8"/>
  <c r="M9" i="8"/>
  <c r="L9" i="8"/>
  <c r="K9" i="8"/>
  <c r="J9" i="8"/>
  <c r="I9" i="8"/>
  <c r="H9" i="8"/>
  <c r="S8" i="8"/>
  <c r="R8" i="8"/>
  <c r="Q8" i="8"/>
  <c r="P8" i="8"/>
  <c r="O8" i="8"/>
  <c r="N8" i="8"/>
  <c r="M8" i="8"/>
  <c r="L8" i="8"/>
  <c r="K8" i="8"/>
  <c r="J8" i="8"/>
  <c r="I8" i="8"/>
  <c r="H8" i="8"/>
  <c r="S7" i="8"/>
  <c r="R7" i="8"/>
  <c r="Q7" i="8"/>
  <c r="P7" i="8"/>
  <c r="O7" i="8"/>
  <c r="N7" i="8"/>
  <c r="M7" i="8"/>
  <c r="L7" i="8"/>
  <c r="K7" i="8"/>
  <c r="J7" i="8"/>
  <c r="I7" i="8"/>
  <c r="H7" i="8"/>
  <c r="S6" i="8"/>
  <c r="S25" i="8" s="1"/>
  <c r="Q12" i="1" s="1"/>
  <c r="R6" i="8"/>
  <c r="R25" i="8" s="1"/>
  <c r="P12" i="1" s="1"/>
  <c r="Q6" i="8"/>
  <c r="Q25" i="8" s="1"/>
  <c r="O12" i="1" s="1"/>
  <c r="P6" i="8"/>
  <c r="O6" i="8"/>
  <c r="O25" i="8" s="1"/>
  <c r="M12" i="1" s="1"/>
  <c r="N6" i="8"/>
  <c r="M6" i="8"/>
  <c r="M25" i="8" s="1"/>
  <c r="K12" i="1" s="1"/>
  <c r="L6" i="8"/>
  <c r="L25" i="8" s="1"/>
  <c r="J12" i="1" s="1"/>
  <c r="K6" i="8"/>
  <c r="K25" i="8" s="1"/>
  <c r="I12" i="1" s="1"/>
  <c r="J6" i="8"/>
  <c r="J25" i="8" s="1"/>
  <c r="H12" i="1" s="1"/>
  <c r="I6" i="8"/>
  <c r="H6" i="8"/>
  <c r="S41" i="7"/>
  <c r="Q30" i="1" s="1"/>
  <c r="R41" i="7"/>
  <c r="Q41" i="7"/>
  <c r="P41" i="7"/>
  <c r="O41" i="7"/>
  <c r="M30" i="1" s="1"/>
  <c r="N41" i="7"/>
  <c r="M41" i="7"/>
  <c r="L41" i="7"/>
  <c r="K41" i="7"/>
  <c r="I30" i="1" s="1"/>
  <c r="J41" i="7"/>
  <c r="I41" i="7"/>
  <c r="H41" i="7"/>
  <c r="F30" i="1" s="1"/>
  <c r="G30" i="7"/>
  <c r="G41" i="7" s="1"/>
  <c r="G29" i="7"/>
  <c r="S24" i="7"/>
  <c r="R24" i="7"/>
  <c r="Q24" i="7"/>
  <c r="P24" i="7"/>
  <c r="O24" i="7"/>
  <c r="N24" i="7"/>
  <c r="M24" i="7"/>
  <c r="L24" i="7"/>
  <c r="K24" i="7"/>
  <c r="J24" i="7"/>
  <c r="I24" i="7"/>
  <c r="H24" i="7"/>
  <c r="S23" i="7"/>
  <c r="R23" i="7"/>
  <c r="Q23" i="7"/>
  <c r="P23" i="7"/>
  <c r="O23" i="7"/>
  <c r="N23" i="7"/>
  <c r="M23" i="7"/>
  <c r="L23" i="7"/>
  <c r="K23" i="7"/>
  <c r="J23" i="7"/>
  <c r="I23" i="7"/>
  <c r="H23" i="7"/>
  <c r="S22" i="7"/>
  <c r="R22" i="7"/>
  <c r="Q22" i="7"/>
  <c r="P22" i="7"/>
  <c r="O22" i="7"/>
  <c r="N22" i="7"/>
  <c r="M22" i="7"/>
  <c r="L22" i="7"/>
  <c r="K22" i="7"/>
  <c r="J22" i="7"/>
  <c r="I22" i="7"/>
  <c r="H22" i="7"/>
  <c r="S21" i="7"/>
  <c r="R21" i="7"/>
  <c r="Q21" i="7"/>
  <c r="P21" i="7"/>
  <c r="O21" i="7"/>
  <c r="N21" i="7"/>
  <c r="M21" i="7"/>
  <c r="L21" i="7"/>
  <c r="K21" i="7"/>
  <c r="J21" i="7"/>
  <c r="I21" i="7"/>
  <c r="H21" i="7"/>
  <c r="S20" i="7"/>
  <c r="R20" i="7"/>
  <c r="Q20" i="7"/>
  <c r="P20" i="7"/>
  <c r="O20" i="7"/>
  <c r="N20" i="7"/>
  <c r="M20" i="7"/>
  <c r="L20" i="7"/>
  <c r="K20" i="7"/>
  <c r="J20" i="7"/>
  <c r="I20" i="7"/>
  <c r="H20" i="7"/>
  <c r="S19" i="7"/>
  <c r="R19" i="7"/>
  <c r="Q19" i="7"/>
  <c r="P19" i="7"/>
  <c r="O19" i="7"/>
  <c r="N19" i="7"/>
  <c r="M19" i="7"/>
  <c r="L19" i="7"/>
  <c r="K19" i="7"/>
  <c r="J19" i="7"/>
  <c r="I19" i="7"/>
  <c r="H19" i="7"/>
  <c r="S18" i="7"/>
  <c r="R18" i="7"/>
  <c r="Q18" i="7"/>
  <c r="P18" i="7"/>
  <c r="O18" i="7"/>
  <c r="N18" i="7"/>
  <c r="M18" i="7"/>
  <c r="L18" i="7"/>
  <c r="K18" i="7"/>
  <c r="J18" i="7"/>
  <c r="I18" i="7"/>
  <c r="H18" i="7"/>
  <c r="S17" i="7"/>
  <c r="R17" i="7"/>
  <c r="Q17" i="7"/>
  <c r="P17" i="7"/>
  <c r="O17" i="7"/>
  <c r="N17" i="7"/>
  <c r="M17" i="7"/>
  <c r="L17" i="7"/>
  <c r="K17" i="7"/>
  <c r="J17" i="7"/>
  <c r="I17" i="7"/>
  <c r="H17" i="7"/>
  <c r="S16" i="7"/>
  <c r="R16" i="7"/>
  <c r="Q16" i="7"/>
  <c r="P16" i="7"/>
  <c r="O16" i="7"/>
  <c r="N16" i="7"/>
  <c r="M16" i="7"/>
  <c r="L16" i="7"/>
  <c r="K16" i="7"/>
  <c r="J16" i="7"/>
  <c r="I16" i="7"/>
  <c r="H16" i="7"/>
  <c r="S15" i="7"/>
  <c r="R15" i="7"/>
  <c r="Q15" i="7"/>
  <c r="P15" i="7"/>
  <c r="O15" i="7"/>
  <c r="N15" i="7"/>
  <c r="M15" i="7"/>
  <c r="L15" i="7"/>
  <c r="K15" i="7"/>
  <c r="J15" i="7"/>
  <c r="I15" i="7"/>
  <c r="H15" i="7"/>
  <c r="S14" i="7"/>
  <c r="R14" i="7"/>
  <c r="Q14" i="7"/>
  <c r="P14" i="7"/>
  <c r="O14" i="7"/>
  <c r="N14" i="7"/>
  <c r="M14" i="7"/>
  <c r="L14" i="7"/>
  <c r="K14" i="7"/>
  <c r="J14" i="7"/>
  <c r="I14" i="7"/>
  <c r="H14" i="7"/>
  <c r="S13" i="7"/>
  <c r="R13" i="7"/>
  <c r="Q13" i="7"/>
  <c r="P13" i="7"/>
  <c r="O13" i="7"/>
  <c r="N13" i="7"/>
  <c r="M13" i="7"/>
  <c r="L13" i="7"/>
  <c r="K13" i="7"/>
  <c r="J13" i="7"/>
  <c r="I13" i="7"/>
  <c r="H13" i="7"/>
  <c r="S12" i="7"/>
  <c r="R12" i="7"/>
  <c r="Q12" i="7"/>
  <c r="P12" i="7"/>
  <c r="O12" i="7"/>
  <c r="N12" i="7"/>
  <c r="M12" i="7"/>
  <c r="L12" i="7"/>
  <c r="K12" i="7"/>
  <c r="J12" i="7"/>
  <c r="I12" i="7"/>
  <c r="H12" i="7"/>
  <c r="S11" i="7"/>
  <c r="R11" i="7"/>
  <c r="Q11" i="7"/>
  <c r="P11" i="7"/>
  <c r="O11" i="7"/>
  <c r="N11" i="7"/>
  <c r="M11" i="7"/>
  <c r="L11" i="7"/>
  <c r="K11" i="7"/>
  <c r="J11" i="7"/>
  <c r="I11" i="7"/>
  <c r="H11" i="7"/>
  <c r="S10" i="7"/>
  <c r="R10" i="7"/>
  <c r="Q10" i="7"/>
  <c r="P10" i="7"/>
  <c r="O10" i="7"/>
  <c r="N10" i="7"/>
  <c r="M10" i="7"/>
  <c r="L10" i="7"/>
  <c r="K10" i="7"/>
  <c r="J10" i="7"/>
  <c r="I10" i="7"/>
  <c r="H10" i="7"/>
  <c r="S9" i="7"/>
  <c r="R9" i="7"/>
  <c r="Q9" i="7"/>
  <c r="P9" i="7"/>
  <c r="O9" i="7"/>
  <c r="N9" i="7"/>
  <c r="M9" i="7"/>
  <c r="L9" i="7"/>
  <c r="K9" i="7"/>
  <c r="J9" i="7"/>
  <c r="I9" i="7"/>
  <c r="H9" i="7"/>
  <c r="S8" i="7"/>
  <c r="R8" i="7"/>
  <c r="Q8" i="7"/>
  <c r="P8" i="7"/>
  <c r="O8" i="7"/>
  <c r="N8" i="7"/>
  <c r="M8" i="7"/>
  <c r="L8" i="7"/>
  <c r="K8" i="7"/>
  <c r="J8" i="7"/>
  <c r="I8" i="7"/>
  <c r="H8" i="7"/>
  <c r="S7" i="7"/>
  <c r="R7" i="7"/>
  <c r="Q7" i="7"/>
  <c r="P7" i="7"/>
  <c r="O7" i="7"/>
  <c r="N7" i="7"/>
  <c r="M7" i="7"/>
  <c r="L7" i="7"/>
  <c r="K7" i="7"/>
  <c r="J7" i="7"/>
  <c r="I7" i="7"/>
  <c r="H7" i="7"/>
  <c r="S6" i="7"/>
  <c r="R6" i="7"/>
  <c r="R25" i="7" s="1"/>
  <c r="P11" i="1" s="1"/>
  <c r="Q6" i="7"/>
  <c r="P6" i="7"/>
  <c r="P25" i="7" s="1"/>
  <c r="N11" i="1" s="1"/>
  <c r="O6" i="7"/>
  <c r="O25" i="7" s="1"/>
  <c r="M11" i="1" s="1"/>
  <c r="N6" i="7"/>
  <c r="M6" i="7"/>
  <c r="M25" i="7" s="1"/>
  <c r="L6" i="7"/>
  <c r="L25" i="7" s="1"/>
  <c r="J11" i="1" s="1"/>
  <c r="K6" i="7"/>
  <c r="J6" i="7"/>
  <c r="J25" i="7" s="1"/>
  <c r="H11" i="1" s="1"/>
  <c r="I6" i="7"/>
  <c r="H6" i="7"/>
  <c r="H25" i="7" s="1"/>
  <c r="F11" i="1" s="1"/>
  <c r="S41" i="6"/>
  <c r="Q29" i="1" s="1"/>
  <c r="R41" i="6"/>
  <c r="P29" i="1" s="1"/>
  <c r="Q41" i="6"/>
  <c r="P41" i="6"/>
  <c r="N29" i="1" s="1"/>
  <c r="O41" i="6"/>
  <c r="N41" i="6"/>
  <c r="L29" i="1" s="1"/>
  <c r="M41" i="6"/>
  <c r="L41" i="6"/>
  <c r="J29" i="1" s="1"/>
  <c r="K41" i="6"/>
  <c r="I29" i="1" s="1"/>
  <c r="J41" i="6"/>
  <c r="H29" i="1" s="1"/>
  <c r="I41" i="6"/>
  <c r="H41" i="6"/>
  <c r="F29" i="1" s="1"/>
  <c r="G41" i="6"/>
  <c r="S24" i="6"/>
  <c r="R24" i="6"/>
  <c r="Q24" i="6"/>
  <c r="P24" i="6"/>
  <c r="O24" i="6"/>
  <c r="N24" i="6"/>
  <c r="M24" i="6"/>
  <c r="L24" i="6"/>
  <c r="K24" i="6"/>
  <c r="J24" i="6"/>
  <c r="I24" i="6"/>
  <c r="H24" i="6"/>
  <c r="S23" i="6"/>
  <c r="R23" i="6"/>
  <c r="Q23" i="6"/>
  <c r="P23" i="6"/>
  <c r="O23" i="6"/>
  <c r="N23" i="6"/>
  <c r="M23" i="6"/>
  <c r="L23" i="6"/>
  <c r="K23" i="6"/>
  <c r="J23" i="6"/>
  <c r="I23" i="6"/>
  <c r="H23" i="6"/>
  <c r="S22" i="6"/>
  <c r="R22" i="6"/>
  <c r="Q22" i="6"/>
  <c r="P22" i="6"/>
  <c r="O22" i="6"/>
  <c r="N22" i="6"/>
  <c r="M22" i="6"/>
  <c r="L22" i="6"/>
  <c r="K22" i="6"/>
  <c r="J22" i="6"/>
  <c r="I22" i="6"/>
  <c r="H22" i="6"/>
  <c r="S21" i="6"/>
  <c r="R21" i="6"/>
  <c r="Q21" i="6"/>
  <c r="P21" i="6"/>
  <c r="O21" i="6"/>
  <c r="N21" i="6"/>
  <c r="M21" i="6"/>
  <c r="L21" i="6"/>
  <c r="K21" i="6"/>
  <c r="J21" i="6"/>
  <c r="I21" i="6"/>
  <c r="H21" i="6"/>
  <c r="S20" i="6"/>
  <c r="R20" i="6"/>
  <c r="Q20" i="6"/>
  <c r="P20" i="6"/>
  <c r="O20" i="6"/>
  <c r="N20" i="6"/>
  <c r="M20" i="6"/>
  <c r="L20" i="6"/>
  <c r="K20" i="6"/>
  <c r="J20" i="6"/>
  <c r="I20" i="6"/>
  <c r="H20" i="6"/>
  <c r="S19" i="6"/>
  <c r="R19" i="6"/>
  <c r="Q19" i="6"/>
  <c r="P19" i="6"/>
  <c r="O19" i="6"/>
  <c r="N19" i="6"/>
  <c r="M19" i="6"/>
  <c r="L19" i="6"/>
  <c r="K19" i="6"/>
  <c r="J19" i="6"/>
  <c r="I19" i="6"/>
  <c r="H19" i="6"/>
  <c r="S18" i="6"/>
  <c r="R18" i="6"/>
  <c r="Q18" i="6"/>
  <c r="P18" i="6"/>
  <c r="O18" i="6"/>
  <c r="N18" i="6"/>
  <c r="M18" i="6"/>
  <c r="L18" i="6"/>
  <c r="K18" i="6"/>
  <c r="J18" i="6"/>
  <c r="I18" i="6"/>
  <c r="H18" i="6"/>
  <c r="S17" i="6"/>
  <c r="R17" i="6"/>
  <c r="Q17" i="6"/>
  <c r="P17" i="6"/>
  <c r="O17" i="6"/>
  <c r="N17" i="6"/>
  <c r="M17" i="6"/>
  <c r="L17" i="6"/>
  <c r="K17" i="6"/>
  <c r="J17" i="6"/>
  <c r="I17" i="6"/>
  <c r="H17" i="6"/>
  <c r="S16" i="6"/>
  <c r="R16" i="6"/>
  <c r="Q16" i="6"/>
  <c r="P16" i="6"/>
  <c r="O16" i="6"/>
  <c r="N16" i="6"/>
  <c r="M16" i="6"/>
  <c r="L16" i="6"/>
  <c r="K16" i="6"/>
  <c r="J16" i="6"/>
  <c r="I16" i="6"/>
  <c r="H16" i="6"/>
  <c r="S15" i="6"/>
  <c r="R15" i="6"/>
  <c r="Q15" i="6"/>
  <c r="P15" i="6"/>
  <c r="O15" i="6"/>
  <c r="N15" i="6"/>
  <c r="M15" i="6"/>
  <c r="L15" i="6"/>
  <c r="K15" i="6"/>
  <c r="J15" i="6"/>
  <c r="I15" i="6"/>
  <c r="H15" i="6"/>
  <c r="S14" i="6"/>
  <c r="R14" i="6"/>
  <c r="Q14" i="6"/>
  <c r="P14" i="6"/>
  <c r="O14" i="6"/>
  <c r="N14" i="6"/>
  <c r="M14" i="6"/>
  <c r="L14" i="6"/>
  <c r="K14" i="6"/>
  <c r="J14" i="6"/>
  <c r="I14" i="6"/>
  <c r="H14" i="6"/>
  <c r="S13" i="6"/>
  <c r="R13" i="6"/>
  <c r="Q13" i="6"/>
  <c r="P13" i="6"/>
  <c r="O13" i="6"/>
  <c r="N13" i="6"/>
  <c r="M13" i="6"/>
  <c r="L13" i="6"/>
  <c r="K13" i="6"/>
  <c r="J13" i="6"/>
  <c r="I13" i="6"/>
  <c r="H13" i="6"/>
  <c r="S12" i="6"/>
  <c r="R12" i="6"/>
  <c r="Q12" i="6"/>
  <c r="P12" i="6"/>
  <c r="O12" i="6"/>
  <c r="N12" i="6"/>
  <c r="M12" i="6"/>
  <c r="L12" i="6"/>
  <c r="K12" i="6"/>
  <c r="J12" i="6"/>
  <c r="I12" i="6"/>
  <c r="H12" i="6"/>
  <c r="S11" i="6"/>
  <c r="R11" i="6"/>
  <c r="Q11" i="6"/>
  <c r="P11" i="6"/>
  <c r="O11" i="6"/>
  <c r="N11" i="6"/>
  <c r="M11" i="6"/>
  <c r="L11" i="6"/>
  <c r="K11" i="6"/>
  <c r="J11" i="6"/>
  <c r="I11" i="6"/>
  <c r="H11" i="6"/>
  <c r="S10" i="6"/>
  <c r="R10" i="6"/>
  <c r="Q10" i="6"/>
  <c r="P10" i="6"/>
  <c r="O10" i="6"/>
  <c r="N10" i="6"/>
  <c r="M10" i="6"/>
  <c r="L10" i="6"/>
  <c r="K10" i="6"/>
  <c r="J10" i="6"/>
  <c r="I10" i="6"/>
  <c r="H10" i="6"/>
  <c r="S9" i="6"/>
  <c r="R9" i="6"/>
  <c r="Q9" i="6"/>
  <c r="P9" i="6"/>
  <c r="O9" i="6"/>
  <c r="N9" i="6"/>
  <c r="M9" i="6"/>
  <c r="L9" i="6"/>
  <c r="K9" i="6"/>
  <c r="J9" i="6"/>
  <c r="I9" i="6"/>
  <c r="H9" i="6"/>
  <c r="S8" i="6"/>
  <c r="R8" i="6"/>
  <c r="Q8" i="6"/>
  <c r="P8" i="6"/>
  <c r="O8" i="6"/>
  <c r="N8" i="6"/>
  <c r="M8" i="6"/>
  <c r="L8" i="6"/>
  <c r="K8" i="6"/>
  <c r="J8" i="6"/>
  <c r="I8" i="6"/>
  <c r="H8" i="6"/>
  <c r="S7" i="6"/>
  <c r="R7" i="6"/>
  <c r="Q7" i="6"/>
  <c r="P7" i="6"/>
  <c r="O7" i="6"/>
  <c r="N7" i="6"/>
  <c r="M7" i="6"/>
  <c r="L7" i="6"/>
  <c r="K7" i="6"/>
  <c r="J7" i="6"/>
  <c r="I7" i="6"/>
  <c r="H7" i="6"/>
  <c r="S6" i="6"/>
  <c r="S25" i="6" s="1"/>
  <c r="Q10" i="1" s="1"/>
  <c r="R6" i="6"/>
  <c r="Q6" i="6"/>
  <c r="Q25" i="6" s="1"/>
  <c r="O10" i="1" s="1"/>
  <c r="P6" i="6"/>
  <c r="P25" i="6" s="1"/>
  <c r="O6" i="6"/>
  <c r="N6" i="6"/>
  <c r="N25" i="6" s="1"/>
  <c r="L10" i="1" s="1"/>
  <c r="M6" i="6"/>
  <c r="M25" i="6" s="1"/>
  <c r="K10" i="1" s="1"/>
  <c r="L6" i="6"/>
  <c r="L25" i="6" s="1"/>
  <c r="K6" i="6"/>
  <c r="K25" i="6" s="1"/>
  <c r="I10" i="1" s="1"/>
  <c r="J6" i="6"/>
  <c r="J25" i="6" s="1"/>
  <c r="H10" i="1" s="1"/>
  <c r="I6" i="6"/>
  <c r="I25" i="6" s="1"/>
  <c r="G10" i="1" s="1"/>
  <c r="H6" i="6"/>
  <c r="H25" i="6" s="1"/>
  <c r="S41" i="5"/>
  <c r="Q27" i="1" s="1"/>
  <c r="R41" i="5"/>
  <c r="Q41" i="5"/>
  <c r="P41" i="5"/>
  <c r="O41" i="5"/>
  <c r="M27" i="1" s="1"/>
  <c r="N41" i="5"/>
  <c r="M41" i="5"/>
  <c r="L41" i="5"/>
  <c r="K41" i="5"/>
  <c r="I27" i="1" s="1"/>
  <c r="J41" i="5"/>
  <c r="I41" i="5"/>
  <c r="H41" i="5"/>
  <c r="G41" i="5"/>
  <c r="S24" i="5"/>
  <c r="R24" i="5"/>
  <c r="Q24" i="5"/>
  <c r="P24" i="5"/>
  <c r="O24" i="5"/>
  <c r="N24" i="5"/>
  <c r="M24" i="5"/>
  <c r="L24" i="5"/>
  <c r="K24" i="5"/>
  <c r="J24" i="5"/>
  <c r="I24" i="5"/>
  <c r="H24" i="5"/>
  <c r="S23" i="5"/>
  <c r="R23" i="5"/>
  <c r="Q23" i="5"/>
  <c r="P23" i="5"/>
  <c r="O23" i="5"/>
  <c r="N23" i="5"/>
  <c r="M23" i="5"/>
  <c r="L23" i="5"/>
  <c r="K23" i="5"/>
  <c r="J23" i="5"/>
  <c r="I23" i="5"/>
  <c r="H23" i="5"/>
  <c r="S22" i="5"/>
  <c r="R22" i="5"/>
  <c r="Q22" i="5"/>
  <c r="P22" i="5"/>
  <c r="O22" i="5"/>
  <c r="N22" i="5"/>
  <c r="M22" i="5"/>
  <c r="L22" i="5"/>
  <c r="K22" i="5"/>
  <c r="J22" i="5"/>
  <c r="I22" i="5"/>
  <c r="H22" i="5"/>
  <c r="S21" i="5"/>
  <c r="R21" i="5"/>
  <c r="Q21" i="5"/>
  <c r="P21" i="5"/>
  <c r="O21" i="5"/>
  <c r="N21" i="5"/>
  <c r="M21" i="5"/>
  <c r="L21" i="5"/>
  <c r="K21" i="5"/>
  <c r="J21" i="5"/>
  <c r="I21" i="5"/>
  <c r="H21" i="5"/>
  <c r="S20" i="5"/>
  <c r="R20" i="5"/>
  <c r="Q20" i="5"/>
  <c r="P20" i="5"/>
  <c r="O20" i="5"/>
  <c r="N20" i="5"/>
  <c r="M20" i="5"/>
  <c r="L20" i="5"/>
  <c r="K20" i="5"/>
  <c r="J20" i="5"/>
  <c r="I20" i="5"/>
  <c r="H20" i="5"/>
  <c r="S19" i="5"/>
  <c r="R19" i="5"/>
  <c r="Q19" i="5"/>
  <c r="P19" i="5"/>
  <c r="O19" i="5"/>
  <c r="N19" i="5"/>
  <c r="M19" i="5"/>
  <c r="L19" i="5"/>
  <c r="K19" i="5"/>
  <c r="J19" i="5"/>
  <c r="I19" i="5"/>
  <c r="H19" i="5"/>
  <c r="S18" i="5"/>
  <c r="R18" i="5"/>
  <c r="Q18" i="5"/>
  <c r="P18" i="5"/>
  <c r="O18" i="5"/>
  <c r="N18" i="5"/>
  <c r="M18" i="5"/>
  <c r="L18" i="5"/>
  <c r="K18" i="5"/>
  <c r="J18" i="5"/>
  <c r="I18" i="5"/>
  <c r="H18" i="5"/>
  <c r="S17" i="5"/>
  <c r="R17" i="5"/>
  <c r="Q17" i="5"/>
  <c r="P17" i="5"/>
  <c r="O17" i="5"/>
  <c r="N17" i="5"/>
  <c r="M17" i="5"/>
  <c r="L17" i="5"/>
  <c r="K17" i="5"/>
  <c r="J17" i="5"/>
  <c r="I17" i="5"/>
  <c r="H17" i="5"/>
  <c r="S16" i="5"/>
  <c r="R16" i="5"/>
  <c r="Q16" i="5"/>
  <c r="P16" i="5"/>
  <c r="O16" i="5"/>
  <c r="N16" i="5"/>
  <c r="M16" i="5"/>
  <c r="L16" i="5"/>
  <c r="K16" i="5"/>
  <c r="J16" i="5"/>
  <c r="I16" i="5"/>
  <c r="H16" i="5"/>
  <c r="S15" i="5"/>
  <c r="R15" i="5"/>
  <c r="Q15" i="5"/>
  <c r="P15" i="5"/>
  <c r="O15" i="5"/>
  <c r="N15" i="5"/>
  <c r="M15" i="5"/>
  <c r="L15" i="5"/>
  <c r="K15" i="5"/>
  <c r="J15" i="5"/>
  <c r="I15" i="5"/>
  <c r="H15" i="5"/>
  <c r="S14" i="5"/>
  <c r="R14" i="5"/>
  <c r="Q14" i="5"/>
  <c r="P14" i="5"/>
  <c r="O14" i="5"/>
  <c r="N14" i="5"/>
  <c r="M14" i="5"/>
  <c r="L14" i="5"/>
  <c r="K14" i="5"/>
  <c r="J14" i="5"/>
  <c r="I14" i="5"/>
  <c r="H14" i="5"/>
  <c r="S13" i="5"/>
  <c r="R13" i="5"/>
  <c r="Q13" i="5"/>
  <c r="P13" i="5"/>
  <c r="O13" i="5"/>
  <c r="N13" i="5"/>
  <c r="M13" i="5"/>
  <c r="L13" i="5"/>
  <c r="K13" i="5"/>
  <c r="J13" i="5"/>
  <c r="I13" i="5"/>
  <c r="H13" i="5"/>
  <c r="S12" i="5"/>
  <c r="R12" i="5"/>
  <c r="Q12" i="5"/>
  <c r="P12" i="5"/>
  <c r="O12" i="5"/>
  <c r="N12" i="5"/>
  <c r="M12" i="5"/>
  <c r="L12" i="5"/>
  <c r="K12" i="5"/>
  <c r="J12" i="5"/>
  <c r="I12" i="5"/>
  <c r="H12" i="5"/>
  <c r="S11" i="5"/>
  <c r="R11" i="5"/>
  <c r="Q11" i="5"/>
  <c r="P11" i="5"/>
  <c r="O11" i="5"/>
  <c r="N11" i="5"/>
  <c r="M11" i="5"/>
  <c r="L11" i="5"/>
  <c r="K11" i="5"/>
  <c r="J11" i="5"/>
  <c r="I11" i="5"/>
  <c r="H11" i="5"/>
  <c r="S10" i="5"/>
  <c r="R10" i="5"/>
  <c r="Q10" i="5"/>
  <c r="P10" i="5"/>
  <c r="O10" i="5"/>
  <c r="N10" i="5"/>
  <c r="M10" i="5"/>
  <c r="L10" i="5"/>
  <c r="K10" i="5"/>
  <c r="J10" i="5"/>
  <c r="I10" i="5"/>
  <c r="H10" i="5"/>
  <c r="S9" i="5"/>
  <c r="R9" i="5"/>
  <c r="Q9" i="5"/>
  <c r="P9" i="5"/>
  <c r="O9" i="5"/>
  <c r="N9" i="5"/>
  <c r="M9" i="5"/>
  <c r="L9" i="5"/>
  <c r="K9" i="5"/>
  <c r="J9" i="5"/>
  <c r="I9" i="5"/>
  <c r="H9" i="5"/>
  <c r="S8" i="5"/>
  <c r="R8" i="5"/>
  <c r="Q8" i="5"/>
  <c r="P8" i="5"/>
  <c r="O8" i="5"/>
  <c r="N8" i="5"/>
  <c r="M8" i="5"/>
  <c r="L8" i="5"/>
  <c r="K8" i="5"/>
  <c r="J8" i="5"/>
  <c r="I8" i="5"/>
  <c r="H8" i="5"/>
  <c r="S7" i="5"/>
  <c r="S25" i="5" s="1"/>
  <c r="R7" i="5"/>
  <c r="R25" i="5" s="1"/>
  <c r="Q7" i="5"/>
  <c r="Q25" i="5" s="1"/>
  <c r="P7" i="5"/>
  <c r="P25" i="5" s="1"/>
  <c r="O7" i="5"/>
  <c r="N7" i="5"/>
  <c r="N25" i="5" s="1"/>
  <c r="M7" i="5"/>
  <c r="L7" i="5"/>
  <c r="L25" i="5" s="1"/>
  <c r="K7" i="5"/>
  <c r="K25" i="5" s="1"/>
  <c r="J7" i="5"/>
  <c r="J25" i="5" s="1"/>
  <c r="I7" i="5"/>
  <c r="I25" i="5" s="1"/>
  <c r="H7" i="5"/>
  <c r="H25" i="5" s="1"/>
  <c r="T29" i="4"/>
  <c r="S29" i="4"/>
  <c r="R29" i="4"/>
  <c r="Q29" i="4"/>
  <c r="P29" i="4"/>
  <c r="O29" i="4"/>
  <c r="N29" i="4"/>
  <c r="M29" i="4"/>
  <c r="L29" i="4"/>
  <c r="K29" i="4"/>
  <c r="J29" i="4"/>
  <c r="I29" i="4"/>
  <c r="H29" i="4"/>
  <c r="T13" i="4"/>
  <c r="S13" i="4"/>
  <c r="R13" i="4"/>
  <c r="Q13" i="4"/>
  <c r="P13" i="4"/>
  <c r="O13" i="4"/>
  <c r="N13" i="4"/>
  <c r="M13" i="4"/>
  <c r="L13" i="4"/>
  <c r="K13" i="4"/>
  <c r="J13" i="4"/>
  <c r="I13" i="4"/>
  <c r="T43" i="3"/>
  <c r="S43" i="3"/>
  <c r="R43" i="3"/>
  <c r="Q43" i="3"/>
  <c r="P43" i="3"/>
  <c r="O43" i="3"/>
  <c r="N43" i="3"/>
  <c r="M43" i="3"/>
  <c r="L43" i="3"/>
  <c r="K43" i="3"/>
  <c r="J43" i="3"/>
  <c r="I43" i="3"/>
  <c r="H43" i="3"/>
  <c r="U26" i="3"/>
  <c r="T26" i="3"/>
  <c r="S31" i="2" s="1"/>
  <c r="S41" i="2" s="1"/>
  <c r="U53" i="25" s="1"/>
  <c r="U93" i="25" s="1"/>
  <c r="S26" i="3"/>
  <c r="R31" i="2" s="1"/>
  <c r="R41" i="2" s="1"/>
  <c r="T53" i="25" s="1"/>
  <c r="T93" i="25" s="1"/>
  <c r="R26" i="3"/>
  <c r="Q31" i="2" s="1"/>
  <c r="Q41" i="2" s="1"/>
  <c r="Q26" i="3"/>
  <c r="P31" i="2" s="1"/>
  <c r="P41" i="2" s="1"/>
  <c r="P26" i="3"/>
  <c r="O31" i="2" s="1"/>
  <c r="O41" i="2" s="1"/>
  <c r="N53" i="25" s="1"/>
  <c r="N93" i="25" s="1"/>
  <c r="O26" i="3"/>
  <c r="N31" i="2" s="1"/>
  <c r="N41" i="2" s="1"/>
  <c r="M53" i="25" s="1"/>
  <c r="N26" i="3"/>
  <c r="M31" i="2" s="1"/>
  <c r="M41" i="2" s="1"/>
  <c r="K53" i="25" s="1"/>
  <c r="K93" i="25" s="1"/>
  <c r="K23" i="25" s="1"/>
  <c r="M26" i="3"/>
  <c r="L31" i="2" s="1"/>
  <c r="L26" i="3"/>
  <c r="K31" i="2" s="1"/>
  <c r="K26" i="3"/>
  <c r="J31" i="2" s="1"/>
  <c r="J26" i="3"/>
  <c r="I26" i="3"/>
  <c r="H41" i="2"/>
  <c r="G41" i="2"/>
  <c r="I29" i="2"/>
  <c r="S24" i="2"/>
  <c r="R24" i="2"/>
  <c r="Q24" i="2"/>
  <c r="P24" i="2"/>
  <c r="O24" i="2"/>
  <c r="N24" i="2"/>
  <c r="M24" i="2"/>
  <c r="L24" i="2"/>
  <c r="K24" i="2"/>
  <c r="J24" i="2"/>
  <c r="I24" i="2"/>
  <c r="H24" i="2"/>
  <c r="S23" i="2"/>
  <c r="R23" i="2"/>
  <c r="Q23" i="2"/>
  <c r="P23" i="2"/>
  <c r="O23" i="2"/>
  <c r="N23" i="2"/>
  <c r="M23" i="2"/>
  <c r="L23" i="2"/>
  <c r="K23" i="2"/>
  <c r="J23" i="2"/>
  <c r="I23" i="2"/>
  <c r="H23" i="2"/>
  <c r="S22" i="2"/>
  <c r="R22" i="2"/>
  <c r="Q22" i="2"/>
  <c r="P22" i="2"/>
  <c r="O22" i="2"/>
  <c r="N22" i="2"/>
  <c r="M22" i="2"/>
  <c r="L22" i="2"/>
  <c r="K22" i="2"/>
  <c r="J22" i="2"/>
  <c r="I22" i="2"/>
  <c r="H22" i="2"/>
  <c r="S21" i="2"/>
  <c r="R21" i="2"/>
  <c r="Q21" i="2"/>
  <c r="P21" i="2"/>
  <c r="O21" i="2"/>
  <c r="N21" i="2"/>
  <c r="M21" i="2"/>
  <c r="L21" i="2"/>
  <c r="K21" i="2"/>
  <c r="J21" i="2"/>
  <c r="I21" i="2"/>
  <c r="H21" i="2"/>
  <c r="S20" i="2"/>
  <c r="R20" i="2"/>
  <c r="Q20" i="2"/>
  <c r="P20" i="2"/>
  <c r="O20" i="2"/>
  <c r="N20" i="2"/>
  <c r="M20" i="2"/>
  <c r="L20" i="2"/>
  <c r="K20" i="2"/>
  <c r="J20" i="2"/>
  <c r="I20" i="2"/>
  <c r="H20" i="2"/>
  <c r="S19" i="2"/>
  <c r="R19" i="2"/>
  <c r="Q19" i="2"/>
  <c r="P19" i="2"/>
  <c r="O19" i="2"/>
  <c r="N19" i="2"/>
  <c r="M19" i="2"/>
  <c r="L19" i="2"/>
  <c r="K19" i="2"/>
  <c r="J19" i="2"/>
  <c r="I19" i="2"/>
  <c r="H19" i="2"/>
  <c r="S18" i="2"/>
  <c r="R18" i="2"/>
  <c r="Q18" i="2"/>
  <c r="P18" i="2"/>
  <c r="O18" i="2"/>
  <c r="N18" i="2"/>
  <c r="M18" i="2"/>
  <c r="L18" i="2"/>
  <c r="K18" i="2"/>
  <c r="J18" i="2"/>
  <c r="I18" i="2"/>
  <c r="H18" i="2"/>
  <c r="S17" i="2"/>
  <c r="R17" i="2"/>
  <c r="Q17" i="2"/>
  <c r="P17" i="2"/>
  <c r="O17" i="2"/>
  <c r="N17" i="2"/>
  <c r="M17" i="2"/>
  <c r="L17" i="2"/>
  <c r="K17" i="2"/>
  <c r="J17" i="2"/>
  <c r="I17" i="2"/>
  <c r="H17" i="2"/>
  <c r="S16" i="2"/>
  <c r="R16" i="2"/>
  <c r="Q16" i="2"/>
  <c r="P16" i="2"/>
  <c r="O16" i="2"/>
  <c r="N16" i="2"/>
  <c r="M16" i="2"/>
  <c r="L16" i="2"/>
  <c r="K16" i="2"/>
  <c r="J16" i="2"/>
  <c r="I16" i="2"/>
  <c r="H16" i="2"/>
  <c r="S15" i="2"/>
  <c r="R15" i="2"/>
  <c r="Q15" i="2"/>
  <c r="P15" i="2"/>
  <c r="O15" i="2"/>
  <c r="N15" i="2"/>
  <c r="M15" i="2"/>
  <c r="L15" i="2"/>
  <c r="K15" i="2"/>
  <c r="J15" i="2"/>
  <c r="I15" i="2"/>
  <c r="H15" i="2"/>
  <c r="S14" i="2"/>
  <c r="R14" i="2"/>
  <c r="Q14" i="2"/>
  <c r="P14" i="2"/>
  <c r="O14" i="2"/>
  <c r="N14" i="2"/>
  <c r="M14" i="2"/>
  <c r="L14" i="2"/>
  <c r="K14" i="2"/>
  <c r="J14" i="2"/>
  <c r="I14" i="2"/>
  <c r="H14" i="2"/>
  <c r="S13" i="2"/>
  <c r="R13" i="2"/>
  <c r="Q13" i="2"/>
  <c r="P13" i="2"/>
  <c r="O13" i="2"/>
  <c r="N13" i="2"/>
  <c r="M13" i="2"/>
  <c r="L13" i="2"/>
  <c r="K13" i="2"/>
  <c r="J13" i="2"/>
  <c r="I13" i="2"/>
  <c r="H13" i="2"/>
  <c r="S12" i="2"/>
  <c r="R12" i="2"/>
  <c r="Q12" i="2"/>
  <c r="P12" i="2"/>
  <c r="O12" i="2"/>
  <c r="N12" i="2"/>
  <c r="M12" i="2"/>
  <c r="L12" i="2"/>
  <c r="K12" i="2"/>
  <c r="J12" i="2"/>
  <c r="I12" i="2"/>
  <c r="H12" i="2"/>
  <c r="S11" i="2"/>
  <c r="R11" i="2"/>
  <c r="Q11" i="2"/>
  <c r="P11" i="2"/>
  <c r="O11" i="2"/>
  <c r="N11" i="2"/>
  <c r="M11" i="2"/>
  <c r="L11" i="2"/>
  <c r="K11" i="2"/>
  <c r="J11" i="2"/>
  <c r="I11" i="2"/>
  <c r="H11" i="2"/>
  <c r="S10" i="2"/>
  <c r="R10" i="2"/>
  <c r="Q10" i="2"/>
  <c r="P10" i="2"/>
  <c r="O10" i="2"/>
  <c r="N10" i="2"/>
  <c r="M10" i="2"/>
  <c r="L10" i="2"/>
  <c r="K10" i="2"/>
  <c r="J10" i="2"/>
  <c r="I10" i="2"/>
  <c r="H10" i="2"/>
  <c r="S9" i="2"/>
  <c r="R9" i="2"/>
  <c r="Q9" i="2"/>
  <c r="P9" i="2"/>
  <c r="O9" i="2"/>
  <c r="N9" i="2"/>
  <c r="M9" i="2"/>
  <c r="L9" i="2"/>
  <c r="K9" i="2"/>
  <c r="J9" i="2"/>
  <c r="I9" i="2"/>
  <c r="H9" i="2"/>
  <c r="S8" i="2"/>
  <c r="R8" i="2"/>
  <c r="Q8" i="2"/>
  <c r="P8" i="2"/>
  <c r="O8" i="2"/>
  <c r="N8" i="2"/>
  <c r="M8" i="2"/>
  <c r="L8" i="2"/>
  <c r="K8" i="2"/>
  <c r="J8" i="2"/>
  <c r="I8" i="2"/>
  <c r="H8" i="2"/>
  <c r="S7" i="2"/>
  <c r="R7" i="2"/>
  <c r="Q7" i="2"/>
  <c r="P7" i="2"/>
  <c r="O7" i="2"/>
  <c r="N7" i="2"/>
  <c r="M7" i="2"/>
  <c r="L7" i="2"/>
  <c r="K7" i="2"/>
  <c r="J7" i="2"/>
  <c r="I7" i="2"/>
  <c r="H7" i="2"/>
  <c r="S6" i="2"/>
  <c r="R6" i="2"/>
  <c r="R25" i="2" s="1"/>
  <c r="Q6" i="2"/>
  <c r="P6" i="2"/>
  <c r="O6" i="2"/>
  <c r="O25" i="2" s="1"/>
  <c r="N6" i="2"/>
  <c r="N25" i="2" s="1"/>
  <c r="M6" i="2"/>
  <c r="M25" i="2" s="1"/>
  <c r="L6" i="2"/>
  <c r="L25" i="2" s="1"/>
  <c r="K6" i="2"/>
  <c r="J6" i="2"/>
  <c r="J25" i="2" s="1"/>
  <c r="I6" i="2"/>
  <c r="H6" i="2"/>
  <c r="Q40" i="1"/>
  <c r="P40" i="1"/>
  <c r="O40" i="1"/>
  <c r="N40" i="1"/>
  <c r="M40" i="1"/>
  <c r="L40" i="1"/>
  <c r="K40" i="1"/>
  <c r="J40" i="1"/>
  <c r="H40" i="1"/>
  <c r="G40" i="1"/>
  <c r="Q39" i="1"/>
  <c r="P39" i="1"/>
  <c r="O39" i="1"/>
  <c r="N39" i="1"/>
  <c r="M39" i="1"/>
  <c r="K39" i="1"/>
  <c r="J39" i="1"/>
  <c r="I39" i="1"/>
  <c r="H39" i="1"/>
  <c r="G39" i="1"/>
  <c r="F39" i="1"/>
  <c r="P38" i="1"/>
  <c r="O38" i="1"/>
  <c r="N38" i="1"/>
  <c r="L38" i="1"/>
  <c r="K38" i="1"/>
  <c r="J38" i="1"/>
  <c r="H38" i="1"/>
  <c r="G38" i="1"/>
  <c r="F38" i="1"/>
  <c r="Q37" i="1"/>
  <c r="P37" i="1"/>
  <c r="M37" i="1"/>
  <c r="L37" i="1"/>
  <c r="J37" i="1"/>
  <c r="I37" i="1"/>
  <c r="H37" i="1"/>
  <c r="P36" i="1"/>
  <c r="O36" i="1"/>
  <c r="N36" i="1"/>
  <c r="L36" i="1"/>
  <c r="K36" i="1"/>
  <c r="H36" i="1"/>
  <c r="G36" i="1"/>
  <c r="F36" i="1"/>
  <c r="Q35" i="1"/>
  <c r="P35" i="1"/>
  <c r="O35" i="1"/>
  <c r="N35" i="1"/>
  <c r="L35" i="1"/>
  <c r="K35" i="1"/>
  <c r="J35" i="1"/>
  <c r="I35" i="1"/>
  <c r="H35" i="1"/>
  <c r="G35" i="1"/>
  <c r="F35" i="1"/>
  <c r="Q34" i="1"/>
  <c r="P34" i="1"/>
  <c r="M34" i="1"/>
  <c r="L34" i="1"/>
  <c r="J34" i="1"/>
  <c r="F34" i="1"/>
  <c r="P33" i="1"/>
  <c r="O33" i="1"/>
  <c r="M33" i="1"/>
  <c r="L33" i="1"/>
  <c r="K33" i="1"/>
  <c r="H33" i="1"/>
  <c r="P32" i="1"/>
  <c r="L32" i="1"/>
  <c r="J32" i="1"/>
  <c r="H32" i="1"/>
  <c r="F32" i="1"/>
  <c r="O31" i="1"/>
  <c r="L31" i="1"/>
  <c r="K31" i="1"/>
  <c r="G31" i="1"/>
  <c r="P30" i="1"/>
  <c r="O30" i="1"/>
  <c r="N30" i="1"/>
  <c r="L30" i="1"/>
  <c r="K30" i="1"/>
  <c r="J30" i="1"/>
  <c r="H30" i="1"/>
  <c r="G30" i="1"/>
  <c r="O29" i="1"/>
  <c r="M29" i="1"/>
  <c r="K29" i="1"/>
  <c r="G29" i="1"/>
  <c r="F28" i="1"/>
  <c r="P27" i="1"/>
  <c r="O27" i="1"/>
  <c r="N27" i="1"/>
  <c r="L27" i="1"/>
  <c r="K27" i="1"/>
  <c r="J27" i="1"/>
  <c r="H27" i="1"/>
  <c r="G27" i="1"/>
  <c r="F27" i="1"/>
  <c r="M20" i="1"/>
  <c r="L20" i="1"/>
  <c r="O19" i="1"/>
  <c r="M19" i="1"/>
  <c r="K19" i="1"/>
  <c r="I19" i="1"/>
  <c r="G19" i="1"/>
  <c r="H18" i="1"/>
  <c r="P17" i="1"/>
  <c r="O17" i="1"/>
  <c r="Q16" i="1"/>
  <c r="M16" i="1"/>
  <c r="I16" i="1"/>
  <c r="P15" i="1"/>
  <c r="L15" i="1"/>
  <c r="H15" i="1"/>
  <c r="Q13" i="1"/>
  <c r="O13" i="1"/>
  <c r="K13" i="1"/>
  <c r="I13" i="1"/>
  <c r="G13" i="1"/>
  <c r="K11" i="1"/>
  <c r="N10" i="1"/>
  <c r="J10" i="1"/>
  <c r="F10" i="1"/>
  <c r="Q6" i="1"/>
  <c r="P6" i="1"/>
  <c r="N6" i="1"/>
  <c r="M6" i="1"/>
  <c r="J6" i="1"/>
  <c r="I6" i="1"/>
  <c r="H6" i="1"/>
  <c r="F6" i="1"/>
  <c r="K34" i="1" l="1"/>
  <c r="K46" i="25"/>
  <c r="K71" i="25" s="1"/>
  <c r="I46" i="25"/>
  <c r="I71" i="25" s="1"/>
  <c r="I34" i="1"/>
  <c r="R53" i="25"/>
  <c r="O53" i="25"/>
  <c r="O93" i="25" s="1"/>
  <c r="M25" i="5"/>
  <c r="I25" i="7"/>
  <c r="G11" i="1" s="1"/>
  <c r="Q25" i="7"/>
  <c r="O11" i="1" s="1"/>
  <c r="N25" i="8"/>
  <c r="L12" i="1" s="1"/>
  <c r="N25" i="10"/>
  <c r="L14" i="1" s="1"/>
  <c r="I25" i="11"/>
  <c r="G15" i="1" s="1"/>
  <c r="Q25" i="11"/>
  <c r="O15" i="1" s="1"/>
  <c r="N25" i="12"/>
  <c r="L16" i="1" s="1"/>
  <c r="E48" i="25"/>
  <c r="E33" i="21"/>
  <c r="J46" i="25"/>
  <c r="J71" i="25" s="1"/>
  <c r="J72" i="25" s="1"/>
  <c r="Q25" i="17"/>
  <c r="O21" i="1" s="1"/>
  <c r="H25" i="2"/>
  <c r="P25" i="2"/>
  <c r="G6" i="1"/>
  <c r="I31" i="2"/>
  <c r="S53" i="25"/>
  <c r="S93" i="25" s="1"/>
  <c r="P53" i="25"/>
  <c r="P93" i="25" s="1"/>
  <c r="G34" i="1"/>
  <c r="F46" i="25"/>
  <c r="F32" i="21"/>
  <c r="I25" i="2"/>
  <c r="Q25" i="2"/>
  <c r="O25" i="5"/>
  <c r="O25" i="6"/>
  <c r="M10" i="1" s="1"/>
  <c r="K25" i="7"/>
  <c r="I11" i="1" s="1"/>
  <c r="H25" i="8"/>
  <c r="F12" i="1" s="1"/>
  <c r="F22" i="1" s="1"/>
  <c r="P25" i="8"/>
  <c r="N12" i="1" s="1"/>
  <c r="L25" i="9"/>
  <c r="J13" i="1" s="1"/>
  <c r="H25" i="10"/>
  <c r="F14" i="1" s="1"/>
  <c r="P25" i="10"/>
  <c r="N14" i="1" s="1"/>
  <c r="K25" i="11"/>
  <c r="I15" i="1" s="1"/>
  <c r="S25" i="11"/>
  <c r="Q15" i="1" s="1"/>
  <c r="H25" i="12"/>
  <c r="F16" i="1" s="1"/>
  <c r="P25" i="12"/>
  <c r="N16" i="1" s="1"/>
  <c r="N22" i="1" s="1"/>
  <c r="O25" i="13"/>
  <c r="M17" i="1" s="1"/>
  <c r="L25" i="14"/>
  <c r="J18" i="1" s="1"/>
  <c r="H25" i="15"/>
  <c r="F20" i="1" s="1"/>
  <c r="P25" i="15"/>
  <c r="N20" i="1" s="1"/>
  <c r="N25" i="16"/>
  <c r="L19" i="1" s="1"/>
  <c r="M25" i="17"/>
  <c r="K21" i="1" s="1"/>
  <c r="P25" i="9"/>
  <c r="N13" i="1" s="1"/>
  <c r="H25" i="14"/>
  <c r="F18" i="1" s="1"/>
  <c r="L6" i="1"/>
  <c r="K25" i="2"/>
  <c r="S25" i="2"/>
  <c r="H34" i="1"/>
  <c r="H46" i="25"/>
  <c r="H71" i="25" s="1"/>
  <c r="M93" i="25"/>
  <c r="P25" i="14"/>
  <c r="N18" i="1" s="1"/>
  <c r="J29" i="2"/>
  <c r="J41" i="2" s="1"/>
  <c r="H53" i="25" s="1"/>
  <c r="I41" i="2"/>
  <c r="F53" i="25" s="1"/>
  <c r="R25" i="6"/>
  <c r="P10" i="1" s="1"/>
  <c r="N25" i="7"/>
  <c r="L11" i="1" s="1"/>
  <c r="O25" i="9"/>
  <c r="M13" i="1" s="1"/>
  <c r="S25" i="14"/>
  <c r="Q18" i="1" s="1"/>
  <c r="I41" i="14"/>
  <c r="E39" i="21"/>
  <c r="E54" i="25"/>
  <c r="E44" i="21"/>
  <c r="E84" i="21"/>
  <c r="H39" i="21"/>
  <c r="F40" i="1"/>
  <c r="E78" i="21"/>
  <c r="F39" i="21"/>
  <c r="F78" i="21" s="1"/>
  <c r="F70" i="21"/>
  <c r="G70" i="21" s="1"/>
  <c r="W16" i="21"/>
  <c r="G31" i="21"/>
  <c r="M28" i="1"/>
  <c r="M41" i="1" s="1"/>
  <c r="N38" i="21"/>
  <c r="N77" i="21" s="1"/>
  <c r="O42" i="21"/>
  <c r="O80" i="21" s="1"/>
  <c r="M22" i="21"/>
  <c r="M24" i="21"/>
  <c r="N24" i="21" s="1"/>
  <c r="S25" i="7"/>
  <c r="Q11" i="1" s="1"/>
  <c r="Q22" i="1" s="1"/>
  <c r="F29" i="21"/>
  <c r="G26" i="21"/>
  <c r="L55" i="21"/>
  <c r="F64" i="21"/>
  <c r="M80" i="21"/>
  <c r="R42" i="21"/>
  <c r="M74" i="21"/>
  <c r="P35" i="21"/>
  <c r="P74" i="21" s="1"/>
  <c r="R35" i="21"/>
  <c r="N35" i="21"/>
  <c r="N72" i="21"/>
  <c r="O33" i="21"/>
  <c r="H11" i="21"/>
  <c r="G13" i="21"/>
  <c r="I22" i="21"/>
  <c r="H26" i="21"/>
  <c r="G64" i="21"/>
  <c r="J24" i="21"/>
  <c r="I80" i="21"/>
  <c r="K42" i="21"/>
  <c r="L42" i="21" s="1"/>
  <c r="N42" i="21"/>
  <c r="Q55" i="21"/>
  <c r="G79" i="21"/>
  <c r="W40" i="21"/>
  <c r="W79" i="21" s="1"/>
  <c r="R92" i="21"/>
  <c r="R73" i="21"/>
  <c r="S34" i="21"/>
  <c r="P28" i="21"/>
  <c r="N92" i="21"/>
  <c r="N73" i="21"/>
  <c r="O34" i="21"/>
  <c r="R72" i="21"/>
  <c r="S33" i="21"/>
  <c r="M30" i="21"/>
  <c r="I30" i="21"/>
  <c r="G48" i="21"/>
  <c r="S55" i="21"/>
  <c r="T12" i="21"/>
  <c r="G90" i="21"/>
  <c r="G22" i="1"/>
  <c r="F41" i="1"/>
  <c r="M22" i="1"/>
  <c r="L22" i="1"/>
  <c r="I22" i="1"/>
  <c r="H22" i="1"/>
  <c r="P22" i="1"/>
  <c r="K29" i="2"/>
  <c r="K41" i="2" s="1"/>
  <c r="I53" i="25" s="1"/>
  <c r="I93" i="25" s="1"/>
  <c r="I23" i="25" s="1"/>
  <c r="J22" i="1"/>
  <c r="K6" i="1"/>
  <c r="K22" i="1" s="1"/>
  <c r="G41" i="14"/>
  <c r="O6" i="1"/>
  <c r="O22" i="1" s="1"/>
  <c r="I41" i="10"/>
  <c r="G33" i="1" s="1"/>
  <c r="G30" i="11"/>
  <c r="G41" i="11" s="1"/>
  <c r="E59" i="25" l="1"/>
  <c r="E98" i="25" s="1"/>
  <c r="Q53" i="25"/>
  <c r="Q93" i="25"/>
  <c r="I86" i="25"/>
  <c r="I21" i="25" s="1"/>
  <c r="I72" i="25"/>
  <c r="F93" i="25"/>
  <c r="F23" i="25" s="1"/>
  <c r="G53" i="25"/>
  <c r="R93" i="25"/>
  <c r="V93" i="25" s="1"/>
  <c r="V53" i="25"/>
  <c r="H93" i="25"/>
  <c r="F71" i="21"/>
  <c r="G71" i="21" s="1"/>
  <c r="G32" i="21"/>
  <c r="F86" i="25"/>
  <c r="G46" i="25"/>
  <c r="G37" i="1"/>
  <c r="F49" i="25"/>
  <c r="F34" i="21"/>
  <c r="E81" i="21"/>
  <c r="J86" i="25"/>
  <c r="M71" i="25"/>
  <c r="K72" i="25"/>
  <c r="H86" i="25"/>
  <c r="H72" i="25"/>
  <c r="L71" i="25"/>
  <c r="G33" i="21"/>
  <c r="G72" i="21" s="1"/>
  <c r="E72" i="21"/>
  <c r="E88" i="21"/>
  <c r="K58" i="25"/>
  <c r="K59" i="25"/>
  <c r="M46" i="25"/>
  <c r="K100" i="25"/>
  <c r="K86" i="25"/>
  <c r="L46" i="25"/>
  <c r="E88" i="25"/>
  <c r="E105" i="25"/>
  <c r="E106" i="25" s="1"/>
  <c r="G48" i="25"/>
  <c r="F54" i="25"/>
  <c r="H54" i="25"/>
  <c r="H59" i="25" s="1"/>
  <c r="E100" i="25"/>
  <c r="E94" i="25"/>
  <c r="E82" i="21"/>
  <c r="E83" i="21" s="1"/>
  <c r="H68" i="21"/>
  <c r="H66" i="21"/>
  <c r="G29" i="21"/>
  <c r="G39" i="21"/>
  <c r="G78" i="21" s="1"/>
  <c r="F43" i="1"/>
  <c r="H78" i="21"/>
  <c r="I39" i="21"/>
  <c r="T42" i="21"/>
  <c r="T80" i="21" s="1"/>
  <c r="H28" i="1"/>
  <c r="H41" i="1" s="1"/>
  <c r="H43" i="1" s="1"/>
  <c r="H38" i="21"/>
  <c r="O28" i="1"/>
  <c r="O41" i="1" s="1"/>
  <c r="S38" i="21"/>
  <c r="S77" i="21" s="1"/>
  <c r="P38" i="21"/>
  <c r="P77" i="21" s="1"/>
  <c r="L28" i="1"/>
  <c r="L41" i="1" s="1"/>
  <c r="L43" i="1" s="1"/>
  <c r="M38" i="21"/>
  <c r="N28" i="1"/>
  <c r="N41" i="1" s="1"/>
  <c r="N43" i="1" s="1"/>
  <c r="R38" i="21"/>
  <c r="O38" i="21"/>
  <c r="O77" i="21" s="1"/>
  <c r="P28" i="1"/>
  <c r="P41" i="1" s="1"/>
  <c r="P43" i="1" s="1"/>
  <c r="T38" i="21"/>
  <c r="T77" i="21" s="1"/>
  <c r="Q28" i="1"/>
  <c r="Q41" i="1" s="1"/>
  <c r="Q43" i="1" s="1"/>
  <c r="U38" i="21"/>
  <c r="U77" i="21" s="1"/>
  <c r="K28" i="1"/>
  <c r="K41" i="1" s="1"/>
  <c r="K43" i="1" s="1"/>
  <c r="K38" i="21"/>
  <c r="K77" i="21" s="1"/>
  <c r="G28" i="1"/>
  <c r="G41" i="1" s="1"/>
  <c r="G43" i="1" s="1"/>
  <c r="F38" i="21"/>
  <c r="F44" i="21" s="1"/>
  <c r="W27" i="21"/>
  <c r="R24" i="21"/>
  <c r="S24" i="21" s="1"/>
  <c r="H63" i="21"/>
  <c r="H29" i="21"/>
  <c r="R22" i="21"/>
  <c r="F100" i="21"/>
  <c r="T55" i="21"/>
  <c r="U12" i="21"/>
  <c r="W90" i="21"/>
  <c r="O92" i="21"/>
  <c r="O73" i="21"/>
  <c r="Q73" i="21" s="1"/>
  <c r="Q34" i="21"/>
  <c r="S73" i="21"/>
  <c r="S92" i="21"/>
  <c r="U34" i="21"/>
  <c r="T34" i="21"/>
  <c r="O72" i="21"/>
  <c r="Q33" i="21"/>
  <c r="R74" i="21"/>
  <c r="S35" i="21"/>
  <c r="R80" i="21"/>
  <c r="S72" i="21"/>
  <c r="U33" i="21"/>
  <c r="U72" i="21" s="1"/>
  <c r="T33" i="21"/>
  <c r="Q28" i="21"/>
  <c r="O24" i="21"/>
  <c r="N80" i="21"/>
  <c r="S42" i="21"/>
  <c r="S80" i="21" s="1"/>
  <c r="J22" i="21"/>
  <c r="I26" i="21"/>
  <c r="H31" i="21"/>
  <c r="I11" i="21"/>
  <c r="H13" i="21"/>
  <c r="H32" i="21" s="1"/>
  <c r="N30" i="21"/>
  <c r="S30" i="21" s="1"/>
  <c r="J30" i="21"/>
  <c r="K80" i="21"/>
  <c r="L80" i="21" s="1"/>
  <c r="P42" i="21"/>
  <c r="Q42" i="21" s="1"/>
  <c r="K24" i="21"/>
  <c r="N22" i="21"/>
  <c r="M26" i="21"/>
  <c r="R30" i="21"/>
  <c r="G63" i="21"/>
  <c r="N74" i="21"/>
  <c r="O35" i="21"/>
  <c r="O74" i="21" s="1"/>
  <c r="M43" i="1"/>
  <c r="O43" i="1"/>
  <c r="L29" i="2"/>
  <c r="L41" i="2" s="1"/>
  <c r="J53" i="25" s="1"/>
  <c r="J93" i="25" s="1"/>
  <c r="J23" i="25" s="1"/>
  <c r="E97" i="25" l="1"/>
  <c r="F59" i="25"/>
  <c r="F98" i="25" s="1"/>
  <c r="L53" i="25"/>
  <c r="W53" i="25" s="1"/>
  <c r="W93" i="25" s="1"/>
  <c r="N46" i="25"/>
  <c r="M86" i="25"/>
  <c r="M97" i="25" s="1"/>
  <c r="O46" i="25"/>
  <c r="M58" i="25"/>
  <c r="M100" i="25"/>
  <c r="M59" i="25"/>
  <c r="H21" i="25"/>
  <c r="L86" i="25"/>
  <c r="L21" i="25" s="1"/>
  <c r="F73" i="21"/>
  <c r="F92" i="21"/>
  <c r="F94" i="21" s="1"/>
  <c r="F95" i="21" s="1"/>
  <c r="F96" i="21" s="1"/>
  <c r="G34" i="21"/>
  <c r="H23" i="25"/>
  <c r="L93" i="25"/>
  <c r="L23" i="25" s="1"/>
  <c r="K98" i="25"/>
  <c r="F109" i="25"/>
  <c r="F111" i="25" s="1"/>
  <c r="F89" i="25"/>
  <c r="G49" i="25"/>
  <c r="G88" i="25"/>
  <c r="W48" i="25"/>
  <c r="W88" i="25" s="1"/>
  <c r="M72" i="25"/>
  <c r="N71" i="25"/>
  <c r="R71" i="25"/>
  <c r="R72" i="25" s="1"/>
  <c r="O71" i="25"/>
  <c r="G105" i="25"/>
  <c r="G106" i="25" s="1"/>
  <c r="E112" i="25"/>
  <c r="E89" i="21"/>
  <c r="E95" i="21" s="1"/>
  <c r="E96" i="21" s="1"/>
  <c r="G88" i="21"/>
  <c r="J100" i="25"/>
  <c r="G93" i="25"/>
  <c r="G23" i="25" s="1"/>
  <c r="J97" i="25"/>
  <c r="J21" i="25"/>
  <c r="F21" i="25"/>
  <c r="G86" i="25"/>
  <c r="G21" i="25" s="1"/>
  <c r="G54" i="25"/>
  <c r="G94" i="25" s="1"/>
  <c r="J58" i="25"/>
  <c r="K21" i="25"/>
  <c r="K97" i="25"/>
  <c r="L72" i="25"/>
  <c r="J59" i="25"/>
  <c r="J98" i="25" s="1"/>
  <c r="I54" i="25"/>
  <c r="H94" i="25"/>
  <c r="H97" i="25" s="1"/>
  <c r="H98" i="25"/>
  <c r="H58" i="25"/>
  <c r="H100" i="25"/>
  <c r="F94" i="25"/>
  <c r="F100" i="25"/>
  <c r="F58" i="25"/>
  <c r="E97" i="21"/>
  <c r="H44" i="21"/>
  <c r="F43" i="21"/>
  <c r="F84" i="21"/>
  <c r="I78" i="21"/>
  <c r="L39" i="21"/>
  <c r="H100" i="21"/>
  <c r="G100" i="21"/>
  <c r="M94" i="21"/>
  <c r="M95" i="21" s="1"/>
  <c r="M96" i="21" s="1"/>
  <c r="M77" i="21"/>
  <c r="Q77" i="21" s="1"/>
  <c r="Q38" i="21"/>
  <c r="I28" i="1"/>
  <c r="I41" i="1" s="1"/>
  <c r="I43" i="1" s="1"/>
  <c r="I38" i="21"/>
  <c r="I77" i="21" s="1"/>
  <c r="H77" i="21"/>
  <c r="J28" i="1"/>
  <c r="J41" i="1" s="1"/>
  <c r="J43" i="1" s="1"/>
  <c r="J38" i="21"/>
  <c r="J77" i="21" s="1"/>
  <c r="R77" i="21"/>
  <c r="V77" i="21" s="1"/>
  <c r="V38" i="21"/>
  <c r="F77" i="21"/>
  <c r="G38" i="21"/>
  <c r="I65" i="21"/>
  <c r="H54" i="21"/>
  <c r="H69" i="21" s="1"/>
  <c r="Q74" i="21"/>
  <c r="I31" i="21"/>
  <c r="I13" i="21"/>
  <c r="I32" i="21" s="1"/>
  <c r="J11" i="21"/>
  <c r="I64" i="21"/>
  <c r="P24" i="21"/>
  <c r="T92" i="21"/>
  <c r="T73" i="21"/>
  <c r="V34" i="21"/>
  <c r="V92" i="21" s="1"/>
  <c r="Q92" i="21"/>
  <c r="U55" i="21"/>
  <c r="V55" i="21" s="1"/>
  <c r="V12" i="21"/>
  <c r="W12" i="21" s="1"/>
  <c r="R26" i="21"/>
  <c r="S22" i="21"/>
  <c r="N26" i="21"/>
  <c r="N94" i="21" s="1"/>
  <c r="N95" i="21" s="1"/>
  <c r="N96" i="21" s="1"/>
  <c r="P80" i="21"/>
  <c r="Q80" i="21" s="1"/>
  <c r="U42" i="21"/>
  <c r="U80" i="21" s="1"/>
  <c r="V80" i="21" s="1"/>
  <c r="H70" i="21"/>
  <c r="S74" i="21"/>
  <c r="T35" i="21"/>
  <c r="U35" i="21"/>
  <c r="U74" i="21" s="1"/>
  <c r="U92" i="21"/>
  <c r="U73" i="21"/>
  <c r="Q35" i="21"/>
  <c r="L24" i="21"/>
  <c r="T24" i="21"/>
  <c r="H64" i="21"/>
  <c r="I29" i="21"/>
  <c r="W28" i="21"/>
  <c r="H43" i="21"/>
  <c r="H65" i="21"/>
  <c r="O22" i="21"/>
  <c r="M29" i="21"/>
  <c r="O30" i="21"/>
  <c r="T30" i="21" s="1"/>
  <c r="K30" i="21"/>
  <c r="P30" i="21" s="1"/>
  <c r="U30" i="21" s="1"/>
  <c r="H56" i="21"/>
  <c r="J26" i="21"/>
  <c r="K22" i="21"/>
  <c r="T72" i="21"/>
  <c r="V33" i="21"/>
  <c r="V72" i="21" s="1"/>
  <c r="Q72" i="21"/>
  <c r="E113" i="25" l="1"/>
  <c r="E116" i="25"/>
  <c r="F97" i="25"/>
  <c r="E114" i="25"/>
  <c r="G100" i="25"/>
  <c r="M98" i="25"/>
  <c r="M114" i="25" s="1"/>
  <c r="G58" i="25"/>
  <c r="G59" i="25"/>
  <c r="G98" i="25" s="1"/>
  <c r="K114" i="25"/>
  <c r="W88" i="21"/>
  <c r="W89" i="21" s="1"/>
  <c r="G89" i="21"/>
  <c r="G73" i="21"/>
  <c r="G92" i="21"/>
  <c r="G94" i="21" s="1"/>
  <c r="G95" i="21" s="1"/>
  <c r="G96" i="21" s="1"/>
  <c r="J26" i="25"/>
  <c r="J27" i="25" s="1"/>
  <c r="J116" i="25" s="1"/>
  <c r="J114" i="25"/>
  <c r="O86" i="25"/>
  <c r="O97" i="25" s="1"/>
  <c r="O100" i="25"/>
  <c r="O58" i="25"/>
  <c r="O59" i="25"/>
  <c r="W105" i="25"/>
  <c r="W106" i="25" s="1"/>
  <c r="G89" i="25"/>
  <c r="G97" i="25" s="1"/>
  <c r="G109" i="25"/>
  <c r="W49" i="25"/>
  <c r="W89" i="25" s="1"/>
  <c r="N86" i="25"/>
  <c r="N97" i="25" s="1"/>
  <c r="S71" i="25"/>
  <c r="S72" i="25" s="1"/>
  <c r="P71" i="25"/>
  <c r="Q71" i="25" s="1"/>
  <c r="N72" i="25"/>
  <c r="E102" i="21"/>
  <c r="W21" i="25"/>
  <c r="P46" i="25"/>
  <c r="N59" i="25"/>
  <c r="N100" i="25"/>
  <c r="N58" i="25"/>
  <c r="T71" i="25"/>
  <c r="T72" i="25" s="1"/>
  <c r="O72" i="25"/>
  <c r="F112" i="25"/>
  <c r="F26" i="25" s="1"/>
  <c r="F27" i="25" s="1"/>
  <c r="L54" i="25"/>
  <c r="L94" i="25" s="1"/>
  <c r="I59" i="25"/>
  <c r="I98" i="25" s="1"/>
  <c r="H114" i="25"/>
  <c r="H26" i="25"/>
  <c r="I94" i="25"/>
  <c r="I97" i="25" s="1"/>
  <c r="L97" i="25" s="1"/>
  <c r="I58" i="25"/>
  <c r="I100" i="25"/>
  <c r="H84" i="21"/>
  <c r="H71" i="21"/>
  <c r="I44" i="21"/>
  <c r="G44" i="21"/>
  <c r="H99" i="21"/>
  <c r="W55" i="21"/>
  <c r="L78" i="21"/>
  <c r="W39" i="21"/>
  <c r="W78" i="21" s="1"/>
  <c r="I100" i="21"/>
  <c r="M100" i="21"/>
  <c r="H94" i="21"/>
  <c r="H95" i="21" s="1"/>
  <c r="H96" i="21" s="1"/>
  <c r="R94" i="21"/>
  <c r="R95" i="21" s="1"/>
  <c r="R96" i="21" s="1"/>
  <c r="L38" i="21"/>
  <c r="W38" i="21" s="1"/>
  <c r="W77" i="21" s="1"/>
  <c r="L77" i="21"/>
  <c r="G77" i="21"/>
  <c r="N29" i="21"/>
  <c r="J29" i="21"/>
  <c r="J65" i="21"/>
  <c r="Q24" i="21"/>
  <c r="H101" i="21"/>
  <c r="H67" i="21"/>
  <c r="L30" i="21"/>
  <c r="W33" i="21"/>
  <c r="W72" i="21" s="1"/>
  <c r="V30" i="21"/>
  <c r="V42" i="21"/>
  <c r="W42" i="21" s="1"/>
  <c r="W80" i="21" s="1"/>
  <c r="W34" i="21"/>
  <c r="W73" i="21" s="1"/>
  <c r="K26" i="21"/>
  <c r="U24" i="21"/>
  <c r="H57" i="21"/>
  <c r="H82" i="21" s="1"/>
  <c r="I54" i="21"/>
  <c r="I99" i="21" s="1"/>
  <c r="I63" i="21"/>
  <c r="I70" i="21"/>
  <c r="H81" i="21"/>
  <c r="R29" i="21"/>
  <c r="W92" i="21"/>
  <c r="W94" i="21" s="1"/>
  <c r="W95" i="21" s="1"/>
  <c r="P22" i="21"/>
  <c r="T74" i="21"/>
  <c r="V74" i="21" s="1"/>
  <c r="V35" i="21"/>
  <c r="W35" i="21" s="1"/>
  <c r="W74" i="21" s="1"/>
  <c r="S26" i="21"/>
  <c r="S94" i="21" s="1"/>
  <c r="S95" i="21" s="1"/>
  <c r="S96" i="21" s="1"/>
  <c r="T22" i="21"/>
  <c r="J31" i="21"/>
  <c r="J13" i="21"/>
  <c r="J32" i="21" s="1"/>
  <c r="K11" i="21"/>
  <c r="L22" i="21"/>
  <c r="I43" i="21"/>
  <c r="Q30" i="21"/>
  <c r="O26" i="21"/>
  <c r="V73" i="21"/>
  <c r="I56" i="21"/>
  <c r="I84" i="21" s="1"/>
  <c r="H27" i="25" l="1"/>
  <c r="H116" i="25" s="1"/>
  <c r="M26" i="25"/>
  <c r="M27" i="25" s="1"/>
  <c r="G60" i="25"/>
  <c r="R46" i="25"/>
  <c r="P86" i="25"/>
  <c r="P58" i="25"/>
  <c r="P100" i="25"/>
  <c r="P59" i="25"/>
  <c r="Q46" i="25"/>
  <c r="Q72" i="25"/>
  <c r="F116" i="25"/>
  <c r="F113" i="25"/>
  <c r="L100" i="25"/>
  <c r="U71" i="25"/>
  <c r="P72" i="25"/>
  <c r="K27" i="25"/>
  <c r="K116" i="25" s="1"/>
  <c r="W109" i="25"/>
  <c r="W111" i="25" s="1"/>
  <c r="W112" i="25" s="1"/>
  <c r="W113" i="25" s="1"/>
  <c r="G111" i="25"/>
  <c r="L58" i="25"/>
  <c r="F114" i="25"/>
  <c r="O98" i="25"/>
  <c r="N98" i="25"/>
  <c r="W54" i="25"/>
  <c r="L59" i="25"/>
  <c r="L98" i="25" s="1"/>
  <c r="I26" i="25"/>
  <c r="Z26" i="25" s="1"/>
  <c r="I114" i="25"/>
  <c r="H83" i="21"/>
  <c r="J44" i="21"/>
  <c r="N100" i="21"/>
  <c r="R100" i="21"/>
  <c r="J100" i="21"/>
  <c r="O94" i="21"/>
  <c r="O95" i="21" s="1"/>
  <c r="O96" i="21" s="1"/>
  <c r="J63" i="21"/>
  <c r="Q22" i="21"/>
  <c r="S29" i="21"/>
  <c r="L26" i="21"/>
  <c r="L29" i="21" s="1"/>
  <c r="L52" i="21"/>
  <c r="I69" i="21"/>
  <c r="I101" i="21"/>
  <c r="W30" i="21"/>
  <c r="I71" i="21"/>
  <c r="K31" i="21"/>
  <c r="K13" i="21"/>
  <c r="K32" i="21" s="1"/>
  <c r="L11" i="21"/>
  <c r="K64" i="21"/>
  <c r="J56" i="21"/>
  <c r="P26" i="21"/>
  <c r="P94" i="21" s="1"/>
  <c r="P95" i="21" s="1"/>
  <c r="P96" i="21" s="1"/>
  <c r="J70" i="21"/>
  <c r="T26" i="21"/>
  <c r="T94" i="21" s="1"/>
  <c r="T95" i="21" s="1"/>
  <c r="T96" i="21" s="1"/>
  <c r="U22" i="21"/>
  <c r="I67" i="21"/>
  <c r="I57" i="21"/>
  <c r="I82" i="21" s="1"/>
  <c r="V24" i="21"/>
  <c r="K29" i="21"/>
  <c r="J64" i="21"/>
  <c r="L50" i="21"/>
  <c r="O29" i="21"/>
  <c r="J43" i="21"/>
  <c r="G112" i="25" l="1"/>
  <c r="G113" i="25" s="1"/>
  <c r="L26" i="25"/>
  <c r="G26" i="25"/>
  <c r="G27" i="25" s="1"/>
  <c r="G116" i="25" s="1"/>
  <c r="G114" i="25"/>
  <c r="N114" i="25"/>
  <c r="N26" i="25"/>
  <c r="Q100" i="25"/>
  <c r="Q59" i="25"/>
  <c r="Q58" i="25"/>
  <c r="O26" i="25"/>
  <c r="O114" i="25"/>
  <c r="P98" i="25"/>
  <c r="V71" i="25"/>
  <c r="U72" i="25"/>
  <c r="Q86" i="25"/>
  <c r="P97" i="25"/>
  <c r="Q97" i="25" s="1"/>
  <c r="T46" i="25"/>
  <c r="R86" i="25"/>
  <c r="R97" i="25" s="1"/>
  <c r="S46" i="25"/>
  <c r="R59" i="25"/>
  <c r="R98" i="25" s="1"/>
  <c r="R100" i="25"/>
  <c r="R58" i="25"/>
  <c r="L60" i="25"/>
  <c r="W94" i="25"/>
  <c r="I27" i="25"/>
  <c r="I116" i="25" s="1"/>
  <c r="L114" i="25"/>
  <c r="I83" i="21"/>
  <c r="K44" i="21"/>
  <c r="K70" i="21"/>
  <c r="L70" i="21" s="1"/>
  <c r="J68" i="21"/>
  <c r="L68" i="21" s="1"/>
  <c r="W68" i="21" s="1"/>
  <c r="J66" i="21"/>
  <c r="J54" i="21"/>
  <c r="J101" i="21" s="1"/>
  <c r="J84" i="21"/>
  <c r="O100" i="21"/>
  <c r="S100" i="21"/>
  <c r="K100" i="21"/>
  <c r="L100" i="21"/>
  <c r="L53" i="21"/>
  <c r="L66" i="21" s="1"/>
  <c r="V22" i="21"/>
  <c r="T29" i="21"/>
  <c r="Q26" i="21"/>
  <c r="Q29" i="21" s="1"/>
  <c r="I81" i="21"/>
  <c r="L31" i="21"/>
  <c r="P29" i="21"/>
  <c r="K65" i="21"/>
  <c r="J71" i="21"/>
  <c r="L65" i="21"/>
  <c r="K54" i="21"/>
  <c r="K99" i="21" s="1"/>
  <c r="L48" i="21"/>
  <c r="Z48" i="21" s="1"/>
  <c r="K63" i="21"/>
  <c r="W24" i="21"/>
  <c r="U26" i="21"/>
  <c r="U94" i="21" s="1"/>
  <c r="U95" i="21" s="1"/>
  <c r="U96" i="21" s="1"/>
  <c r="K56" i="21"/>
  <c r="K84" i="21" s="1"/>
  <c r="M32" i="21"/>
  <c r="L64" i="21"/>
  <c r="K43" i="21"/>
  <c r="L32" i="21"/>
  <c r="M11" i="21"/>
  <c r="L13" i="21"/>
  <c r="T86" i="25" l="1"/>
  <c r="T97" i="25" s="1"/>
  <c r="T59" i="25"/>
  <c r="T98" i="25" s="1"/>
  <c r="T100" i="25"/>
  <c r="T58" i="25"/>
  <c r="O27" i="25"/>
  <c r="Q98" i="25"/>
  <c r="Q60" i="25"/>
  <c r="R114" i="25"/>
  <c r="R26" i="25"/>
  <c r="V72" i="25"/>
  <c r="W72" i="25" s="1"/>
  <c r="W71" i="25"/>
  <c r="N27" i="25"/>
  <c r="S86" i="25"/>
  <c r="S97" i="25" s="1"/>
  <c r="U46" i="25"/>
  <c r="V46" i="25" s="1"/>
  <c r="S100" i="25"/>
  <c r="S59" i="25"/>
  <c r="S98" i="25" s="1"/>
  <c r="S58" i="25"/>
  <c r="P114" i="25"/>
  <c r="P26" i="25"/>
  <c r="L27" i="25"/>
  <c r="L116" i="25" s="1"/>
  <c r="J57" i="21"/>
  <c r="J82" i="21" s="1"/>
  <c r="J67" i="21"/>
  <c r="L44" i="21"/>
  <c r="J69" i="21"/>
  <c r="J99" i="21"/>
  <c r="W53" i="21"/>
  <c r="W66" i="21" s="1"/>
  <c r="J94" i="21"/>
  <c r="J95" i="21" s="1"/>
  <c r="J96" i="21" s="1"/>
  <c r="P100" i="21"/>
  <c r="L94" i="21"/>
  <c r="L95" i="21" s="1"/>
  <c r="L96" i="21" s="1"/>
  <c r="T100" i="21"/>
  <c r="Q100" i="21"/>
  <c r="W22" i="21"/>
  <c r="Q94" i="21"/>
  <c r="Q95" i="21" s="1"/>
  <c r="Q96" i="21" s="1"/>
  <c r="V94" i="21"/>
  <c r="V95" i="21" s="1"/>
  <c r="V96" i="21" s="1"/>
  <c r="U29" i="21"/>
  <c r="K69" i="21"/>
  <c r="K101" i="21"/>
  <c r="V26" i="21"/>
  <c r="W26" i="21" s="1"/>
  <c r="O32" i="21"/>
  <c r="N32" i="21"/>
  <c r="M56" i="21"/>
  <c r="L56" i="21"/>
  <c r="L84" i="21" s="1"/>
  <c r="K71" i="21"/>
  <c r="L71" i="21" s="1"/>
  <c r="L54" i="21"/>
  <c r="L99" i="21" s="1"/>
  <c r="L63" i="21"/>
  <c r="M31" i="21"/>
  <c r="M44" i="21" s="1"/>
  <c r="M13" i="21"/>
  <c r="N11" i="21"/>
  <c r="L43" i="21"/>
  <c r="K67" i="21"/>
  <c r="K57" i="21"/>
  <c r="K82" i="21" s="1"/>
  <c r="W46" i="25" l="1"/>
  <c r="V58" i="25"/>
  <c r="W58" i="25" s="1"/>
  <c r="V59" i="25"/>
  <c r="V100" i="25"/>
  <c r="S26" i="25"/>
  <c r="S114" i="25"/>
  <c r="P27" i="25"/>
  <c r="R27" i="25"/>
  <c r="Q114" i="25"/>
  <c r="Q26" i="25"/>
  <c r="U86" i="25"/>
  <c r="U100" i="25"/>
  <c r="U59" i="25"/>
  <c r="U98" i="25" s="1"/>
  <c r="U58" i="25"/>
  <c r="T26" i="25"/>
  <c r="T114" i="25"/>
  <c r="K83" i="21"/>
  <c r="J81" i="21"/>
  <c r="J83" i="21"/>
  <c r="L69" i="21"/>
  <c r="M71" i="21"/>
  <c r="M84" i="21"/>
  <c r="U100" i="21"/>
  <c r="L101" i="21"/>
  <c r="AA101" i="21" s="1"/>
  <c r="N64" i="21"/>
  <c r="N65" i="21"/>
  <c r="V29" i="21"/>
  <c r="M64" i="21"/>
  <c r="L57" i="21"/>
  <c r="L82" i="21" s="1"/>
  <c r="L67" i="21"/>
  <c r="L45" i="21"/>
  <c r="M54" i="21"/>
  <c r="M99" i="21" s="1"/>
  <c r="M63" i="21"/>
  <c r="O56" i="21"/>
  <c r="R56" i="21"/>
  <c r="N56" i="21"/>
  <c r="N31" i="21"/>
  <c r="N44" i="21" s="1"/>
  <c r="N13" i="21"/>
  <c r="O11" i="21"/>
  <c r="M70" i="21"/>
  <c r="M43" i="21"/>
  <c r="M65" i="21"/>
  <c r="K81" i="21"/>
  <c r="P32" i="21"/>
  <c r="V86" i="25" l="1"/>
  <c r="W86" i="25" s="1"/>
  <c r="W97" i="25" s="1"/>
  <c r="U97" i="25"/>
  <c r="V97" i="25" s="1"/>
  <c r="Q27" i="25"/>
  <c r="S27" i="25"/>
  <c r="T27" i="25"/>
  <c r="V98" i="25"/>
  <c r="V60" i="25"/>
  <c r="U114" i="25"/>
  <c r="U26" i="25"/>
  <c r="W59" i="25"/>
  <c r="W98" i="25" s="1"/>
  <c r="W100" i="25"/>
  <c r="L81" i="21"/>
  <c r="L83" i="21"/>
  <c r="N71" i="21"/>
  <c r="N84" i="21"/>
  <c r="T56" i="21"/>
  <c r="M101" i="21"/>
  <c r="O64" i="21"/>
  <c r="W29" i="21"/>
  <c r="V100" i="21"/>
  <c r="O71" i="21"/>
  <c r="O31" i="21"/>
  <c r="O44" i="21" s="1"/>
  <c r="O13" i="21"/>
  <c r="P11" i="21"/>
  <c r="S56" i="21"/>
  <c r="P56" i="21"/>
  <c r="R32" i="21"/>
  <c r="Q32" i="21"/>
  <c r="N54" i="21"/>
  <c r="N99" i="21" s="1"/>
  <c r="N63" i="21"/>
  <c r="N70" i="21"/>
  <c r="N43" i="21"/>
  <c r="M67" i="21"/>
  <c r="M57" i="21"/>
  <c r="M82" i="21" s="1"/>
  <c r="M69" i="21"/>
  <c r="W26" i="25" l="1"/>
  <c r="W114" i="25"/>
  <c r="U27" i="25"/>
  <c r="W60" i="25"/>
  <c r="V26" i="25"/>
  <c r="V114" i="25"/>
  <c r="M83" i="21"/>
  <c r="O84" i="21"/>
  <c r="U56" i="21"/>
  <c r="V56" i="21" s="1"/>
  <c r="W100" i="21"/>
  <c r="N101" i="21"/>
  <c r="Q48" i="21"/>
  <c r="P65" i="21"/>
  <c r="M81" i="21"/>
  <c r="Q56" i="21"/>
  <c r="P31" i="21"/>
  <c r="P44" i="21" s="1"/>
  <c r="Q11" i="21"/>
  <c r="P13" i="21"/>
  <c r="R71" i="21"/>
  <c r="S32" i="21"/>
  <c r="T32" i="21"/>
  <c r="T71" i="21" s="1"/>
  <c r="O65" i="21"/>
  <c r="N57" i="21"/>
  <c r="N82" i="21" s="1"/>
  <c r="N67" i="21"/>
  <c r="N69" i="21"/>
  <c r="P71" i="21"/>
  <c r="Q71" i="21" s="1"/>
  <c r="O54" i="21"/>
  <c r="O99" i="21" s="1"/>
  <c r="O63" i="21"/>
  <c r="O70" i="21"/>
  <c r="O43" i="21"/>
  <c r="V27" i="25" l="1"/>
  <c r="W27" i="25"/>
  <c r="W116" i="25" s="1"/>
  <c r="N81" i="21"/>
  <c r="N83" i="21"/>
  <c r="P84" i="21"/>
  <c r="O101" i="21"/>
  <c r="Q31" i="21"/>
  <c r="Q44" i="21" s="1"/>
  <c r="W56" i="21"/>
  <c r="Q63" i="21"/>
  <c r="R11" i="21"/>
  <c r="Q13" i="21"/>
  <c r="Q52" i="21"/>
  <c r="S71" i="21"/>
  <c r="U32" i="21"/>
  <c r="P54" i="21"/>
  <c r="P99" i="21" s="1"/>
  <c r="P63" i="21"/>
  <c r="P70" i="21"/>
  <c r="Q70" i="21" s="1"/>
  <c r="P43" i="21"/>
  <c r="O57" i="21"/>
  <c r="O82" i="21" s="1"/>
  <c r="O67" i="21"/>
  <c r="O69" i="21"/>
  <c r="P64" i="21"/>
  <c r="Q50" i="21"/>
  <c r="O81" i="21" l="1"/>
  <c r="O83" i="21"/>
  <c r="Q84" i="21"/>
  <c r="Q45" i="21"/>
  <c r="P101" i="21"/>
  <c r="Q43" i="21"/>
  <c r="P57" i="21"/>
  <c r="P82" i="21" s="1"/>
  <c r="P67" i="21"/>
  <c r="P69" i="21"/>
  <c r="U71" i="21"/>
  <c r="V71" i="21" s="1"/>
  <c r="W71" i="21" s="1"/>
  <c r="V32" i="21"/>
  <c r="W32" i="21" s="1"/>
  <c r="Q64" i="21"/>
  <c r="Q54" i="21"/>
  <c r="Q99" i="21" s="1"/>
  <c r="Q65" i="21"/>
  <c r="R31" i="21"/>
  <c r="R44" i="21" s="1"/>
  <c r="R13" i="21"/>
  <c r="S11" i="21"/>
  <c r="P81" i="21" l="1"/>
  <c r="Q81" i="21" s="1"/>
  <c r="P83" i="21"/>
  <c r="R84" i="21"/>
  <c r="Q101" i="21"/>
  <c r="S64" i="21"/>
  <c r="S65" i="21"/>
  <c r="Q69" i="21"/>
  <c r="R54" i="21"/>
  <c r="R99" i="21" s="1"/>
  <c r="R63" i="21"/>
  <c r="R70" i="21"/>
  <c r="R43" i="21"/>
  <c r="R64" i="21"/>
  <c r="Q57" i="21"/>
  <c r="Q82" i="21" s="1"/>
  <c r="Q67" i="21"/>
  <c r="S31" i="21"/>
  <c r="S44" i="21" s="1"/>
  <c r="S13" i="21"/>
  <c r="T11" i="21"/>
  <c r="R65" i="21"/>
  <c r="Q83" i="21" l="1"/>
  <c r="S84" i="21"/>
  <c r="R101" i="21"/>
  <c r="T64" i="21"/>
  <c r="T31" i="21"/>
  <c r="T44" i="21" s="1"/>
  <c r="U11" i="21"/>
  <c r="T13" i="21"/>
  <c r="R67" i="21"/>
  <c r="R57" i="21"/>
  <c r="R82" i="21" s="1"/>
  <c r="R69" i="21"/>
  <c r="S54" i="21"/>
  <c r="S99" i="21" s="1"/>
  <c r="S63" i="21"/>
  <c r="S70" i="21"/>
  <c r="S43" i="21"/>
  <c r="R83" i="21" l="1"/>
  <c r="T84" i="21"/>
  <c r="S101" i="21"/>
  <c r="V48" i="21"/>
  <c r="U65" i="21"/>
  <c r="T65" i="21"/>
  <c r="U31" i="21"/>
  <c r="U44" i="21" s="1"/>
  <c r="U13" i="21"/>
  <c r="V11" i="21"/>
  <c r="S67" i="21"/>
  <c r="S57" i="21"/>
  <c r="S82" i="21" s="1"/>
  <c r="S69" i="21"/>
  <c r="R81" i="21"/>
  <c r="T54" i="21"/>
  <c r="T99" i="21" s="1"/>
  <c r="T63" i="21"/>
  <c r="T70" i="21"/>
  <c r="T43" i="21"/>
  <c r="S81" i="21" l="1"/>
  <c r="S83" i="21"/>
  <c r="U84" i="21"/>
  <c r="T101" i="21"/>
  <c r="T67" i="21"/>
  <c r="T57" i="21"/>
  <c r="T82" i="21" s="1"/>
  <c r="T69" i="21"/>
  <c r="U54" i="21"/>
  <c r="U99" i="21" s="1"/>
  <c r="U63" i="21"/>
  <c r="U70" i="21"/>
  <c r="V70" i="21" s="1"/>
  <c r="W70" i="21" s="1"/>
  <c r="U43" i="21"/>
  <c r="U64" i="21"/>
  <c r="V50" i="21"/>
  <c r="V52" i="21"/>
  <c r="V31" i="21"/>
  <c r="V44" i="21" s="1"/>
  <c r="V63" i="21"/>
  <c r="W48" i="21"/>
  <c r="V13" i="21"/>
  <c r="W13" i="21" s="1"/>
  <c r="W11" i="21"/>
  <c r="T81" i="21" l="1"/>
  <c r="T83" i="21"/>
  <c r="V84" i="21"/>
  <c r="U101" i="21"/>
  <c r="V54" i="21"/>
  <c r="V99" i="21" s="1"/>
  <c r="U67" i="21"/>
  <c r="U57" i="21"/>
  <c r="U82" i="21" s="1"/>
  <c r="U69" i="21"/>
  <c r="V64" i="21"/>
  <c r="W50" i="21"/>
  <c r="W64" i="21" s="1"/>
  <c r="V45" i="21"/>
  <c r="V43" i="21"/>
  <c r="W31" i="21"/>
  <c r="W63" i="21"/>
  <c r="V65" i="21"/>
  <c r="U83" i="21" l="1"/>
  <c r="V57" i="21"/>
  <c r="V82" i="21" s="1"/>
  <c r="V101" i="21"/>
  <c r="V67" i="21"/>
  <c r="U81" i="21"/>
  <c r="V81" i="21" s="1"/>
  <c r="V69" i="21"/>
  <c r="V83" i="21" l="1"/>
  <c r="V97" i="21"/>
  <c r="G43" i="21"/>
  <c r="W43" i="21" s="1"/>
  <c r="G76" i="21"/>
  <c r="W37" i="21"/>
  <c r="W96" i="21" s="1"/>
  <c r="W44" i="21" l="1"/>
  <c r="W76" i="21"/>
  <c r="G45" i="21"/>
  <c r="W45" i="21" l="1"/>
  <c r="E103" i="21" l="1"/>
  <c r="T102" i="21"/>
  <c r="R102" i="21" l="1"/>
  <c r="R103" i="21" s="1"/>
  <c r="T97" i="21"/>
  <c r="Q97" i="21"/>
  <c r="N97" i="21"/>
  <c r="I102" i="21"/>
  <c r="I103" i="21" s="1"/>
  <c r="S102" i="21"/>
  <c r="S103" i="21" s="1"/>
  <c r="L102" i="21"/>
  <c r="L103" i="21" s="1"/>
  <c r="U97" i="21"/>
  <c r="M97" i="21"/>
  <c r="O97" i="21"/>
  <c r="J97" i="21"/>
  <c r="V102" i="21"/>
  <c r="V103" i="21" s="1"/>
  <c r="Q102" i="21"/>
  <c r="Q103" i="21" s="1"/>
  <c r="J102" i="21"/>
  <c r="J103" i="21" s="1"/>
  <c r="K97" i="21"/>
  <c r="P102" i="21"/>
  <c r="P103" i="21" s="1"/>
  <c r="H102" i="21"/>
  <c r="H103" i="21" s="1"/>
  <c r="M102" i="21"/>
  <c r="M103" i="21" s="1"/>
  <c r="L97" i="21"/>
  <c r="N102" i="21"/>
  <c r="N103" i="21" s="1"/>
  <c r="U102" i="21"/>
  <c r="U103" i="21" s="1"/>
  <c r="R97" i="21"/>
  <c r="P97" i="21"/>
  <c r="T103" i="21"/>
  <c r="S97" i="21"/>
  <c r="K102" i="21"/>
  <c r="K103" i="21" s="1"/>
  <c r="H97" i="21"/>
  <c r="I97" i="21"/>
  <c r="O102" i="21"/>
  <c r="O103" i="21" s="1"/>
  <c r="F65" i="21"/>
  <c r="F54" i="21"/>
  <c r="G52" i="21"/>
  <c r="F67" i="21" l="1"/>
  <c r="F99" i="21"/>
  <c r="G65" i="21"/>
  <c r="G84" i="21"/>
  <c r="F57" i="21"/>
  <c r="F82" i="21" s="1"/>
  <c r="F101" i="21"/>
  <c r="F69" i="21"/>
  <c r="G54" i="21"/>
  <c r="G99" i="21" s="1"/>
  <c r="W52" i="21"/>
  <c r="W84" i="21" s="1"/>
  <c r="F81" i="21" l="1"/>
  <c r="F83" i="21"/>
  <c r="F97" i="21"/>
  <c r="G69" i="21"/>
  <c r="G67" i="21"/>
  <c r="G57" i="21"/>
  <c r="G82" i="21" s="1"/>
  <c r="G101" i="21"/>
  <c r="W65" i="21"/>
  <c r="W54" i="21"/>
  <c r="W99" i="21" s="1"/>
  <c r="F102" i="21"/>
  <c r="F103" i="21" s="1"/>
  <c r="G83" i="21" l="1"/>
  <c r="W101" i="21"/>
  <c r="W67" i="21"/>
  <c r="W57" i="21"/>
  <c r="W82" i="21" s="1"/>
  <c r="G81" i="21"/>
  <c r="W69" i="21"/>
  <c r="W83" i="21" l="1"/>
  <c r="W97" i="21"/>
  <c r="W81" i="21"/>
  <c r="G97" i="21"/>
  <c r="G102" i="21"/>
  <c r="G103" i="21" s="1"/>
  <c r="W102" i="21"/>
  <c r="W103" i="21" s="1"/>
  <c r="W104" i="2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33" authorId="0" shapeId="0" xr:uid="{00000000-0006-0000-0400-000001000000}">
      <text>
        <r>
          <rPr>
            <sz val="11"/>
            <color rgb="FF000000"/>
            <rFont val="Calibri"/>
          </rPr>
          <t>+rnorris@fitbit.com is this something that's covered in other budgets?
	-Ryan Krems</t>
        </r>
      </text>
    </comment>
  </commentList>
</comments>
</file>

<file path=xl/sharedStrings.xml><?xml version="1.0" encoding="utf-8"?>
<sst xmlns="http://schemas.openxmlformats.org/spreadsheetml/2006/main" count="1583" uniqueCount="348">
  <si>
    <t>DELTA INCREMENTAL COSTS</t>
  </si>
  <si>
    <t xml:space="preserve">I. DELTA TECH HC: engineering, product, UX </t>
  </si>
  <si>
    <t>Delta Incremental Costs</t>
  </si>
  <si>
    <t>SUMMARY</t>
  </si>
  <si>
    <t>Headcount</t>
  </si>
  <si>
    <t>Headcount Related (if needed)</t>
  </si>
  <si>
    <t>Owner</t>
  </si>
  <si>
    <t>Key Need:</t>
  </si>
  <si>
    <t>Submitted by</t>
  </si>
  <si>
    <t>Status</t>
  </si>
  <si>
    <t>Q3</t>
  </si>
  <si>
    <t>Department</t>
  </si>
  <si>
    <t>TBH Title</t>
  </si>
  <si>
    <t>Description</t>
  </si>
  <si>
    <t>Hire Date</t>
  </si>
  <si>
    <t>Location</t>
  </si>
  <si>
    <t>Base Salary Estimate USD</t>
  </si>
  <si>
    <t>Q4</t>
  </si>
  <si>
    <t>Q1</t>
  </si>
  <si>
    <t>Q2</t>
  </si>
  <si>
    <t xml:space="preserve">Ryan Krems  </t>
  </si>
  <si>
    <t>I TECH</t>
  </si>
  <si>
    <t>Net New Tech Hires Under New Jon O  Org</t>
  </si>
  <si>
    <t>Ryan Krems</t>
  </si>
  <si>
    <t>Complete</t>
  </si>
  <si>
    <t>Staff Engineer (P4)</t>
  </si>
  <si>
    <t>Android Engineer</t>
  </si>
  <si>
    <t>Q1 2020</t>
  </si>
  <si>
    <t>Hong Kong</t>
  </si>
  <si>
    <t>Bob to Provide After Leveling mid next week (~Weds,  9/25)</t>
  </si>
  <si>
    <t>Yes</t>
  </si>
  <si>
    <t>iOS Engineer</t>
  </si>
  <si>
    <t>Q4 2019</t>
  </si>
  <si>
    <t>Senior Engineer (P3)</t>
  </si>
  <si>
    <t>Backend Engineer</t>
  </si>
  <si>
    <t>Mobile Architect</t>
  </si>
  <si>
    <t>Software SDET</t>
  </si>
  <si>
    <t>Senior Software SDET</t>
  </si>
  <si>
    <t>II NON TECH</t>
  </si>
  <si>
    <t>Engineer (P2)</t>
  </si>
  <si>
    <t>Manual QA</t>
  </si>
  <si>
    <t>Engineering Manager (M3)</t>
  </si>
  <si>
    <t>Product</t>
  </si>
  <si>
    <t>Engineering Manager</t>
  </si>
  <si>
    <t>Jon Oakes, Ryan K</t>
  </si>
  <si>
    <t xml:space="preserve">New Hires to expedite Viking development </t>
  </si>
  <si>
    <t>SRE</t>
  </si>
  <si>
    <t>Q3 2020</t>
  </si>
  <si>
    <t>SW Engineering</t>
  </si>
  <si>
    <t>Senior UX Manager (M3)</t>
  </si>
  <si>
    <t>HW Engineering</t>
  </si>
  <si>
    <t>Mark M</t>
  </si>
  <si>
    <t>Work In Progress</t>
  </si>
  <si>
    <t>Manager to build out UX team in the region</t>
  </si>
  <si>
    <t>Existing Delta Tech Headcount Under New Jon O Org</t>
  </si>
  <si>
    <t>Backend - Tech Lead</t>
  </si>
  <si>
    <t>Clarence - Current</t>
  </si>
  <si>
    <t>Kit - Current</t>
  </si>
  <si>
    <t xml:space="preserve">Keith - Current </t>
  </si>
  <si>
    <t>Chung - Current</t>
  </si>
  <si>
    <t>Engineer (P1)</t>
  </si>
  <si>
    <t>Associate Android Engineer</t>
  </si>
  <si>
    <t>Man - Current</t>
  </si>
  <si>
    <t/>
  </si>
  <si>
    <t>Accounting</t>
  </si>
  <si>
    <t>Audrey Zhang</t>
  </si>
  <si>
    <t>Integration costs, inventory write off costs</t>
  </si>
  <si>
    <t>Non Headcount</t>
  </si>
  <si>
    <t>Tax &amp; Treasury</t>
  </si>
  <si>
    <t>Harvey, Anu</t>
  </si>
  <si>
    <t>Tax costs</t>
  </si>
  <si>
    <t>Description of Spend</t>
  </si>
  <si>
    <t>Justification</t>
  </si>
  <si>
    <t>Total Cost Estimate</t>
  </si>
  <si>
    <t>Dawn Baker</t>
  </si>
  <si>
    <t>Legal</t>
  </si>
  <si>
    <t>Nisha</t>
  </si>
  <si>
    <t>Legal closing costs</t>
  </si>
  <si>
    <t>HR</t>
  </si>
  <si>
    <t>Bob, Sheryl</t>
  </si>
  <si>
    <t>Employee related (separate file)</t>
  </si>
  <si>
    <t>N/A</t>
  </si>
  <si>
    <t>Separate file</t>
  </si>
  <si>
    <t>Facilities</t>
  </si>
  <si>
    <t>Peter Schaffer</t>
  </si>
  <si>
    <t>New facility costs in HK</t>
  </si>
  <si>
    <t>Marketing</t>
  </si>
  <si>
    <t>Lisa Swift</t>
  </si>
  <si>
    <t>Int'l S&amp;M</t>
  </si>
  <si>
    <t>Des Power</t>
  </si>
  <si>
    <t>IT - Infrastructure</t>
  </si>
  <si>
    <t>Bill Bragg</t>
  </si>
  <si>
    <t>Costs for new employees</t>
  </si>
  <si>
    <t>IT - Apps</t>
  </si>
  <si>
    <t>Vijay</t>
  </si>
  <si>
    <t>LB (Based on email from Paul Quinn)</t>
  </si>
  <si>
    <t>Set up a new Fitbit owned Agora account - 10k to 50k</t>
  </si>
  <si>
    <t>Shares video calling API use with another company. This may incur unforeseen costs as we support their existing in-market devices for a yea</t>
  </si>
  <si>
    <t xml:space="preserve">2. DELTA NON-TECH HC - CS, </t>
  </si>
  <si>
    <t>IT - Security</t>
  </si>
  <si>
    <t>Engineering</t>
  </si>
  <si>
    <t>Jonathan Werrett</t>
  </si>
  <si>
    <t>Black duck code review</t>
  </si>
  <si>
    <t>Licensing for development tools</t>
  </si>
  <si>
    <t>$500 per engineering employee per year listed above (new hire) - for above people in Hong Kong office</t>
  </si>
  <si>
    <t xml:space="preserve">DELTA EXISTING NON-TECH HC </t>
  </si>
  <si>
    <t>Operations</t>
  </si>
  <si>
    <t>Bobinder</t>
  </si>
  <si>
    <t>$500 per engineering employee per year listed above (existing ) - for above people in Hong Kong office</t>
  </si>
  <si>
    <t xml:space="preserve">Lauren to populate the 9 non-tech existing Delta heads from blue HR dataroom folder: 9. Legal Emp. Docs. Retirement, Handbook, Emp. Contracts/Offer Letters, </t>
  </si>
  <si>
    <t>Recruiting Budget</t>
  </si>
  <si>
    <t>Need to get new-hires on-board  - 2 months of average salary per new hire</t>
  </si>
  <si>
    <t>Need to get new-hires on-board - 2months of average salary to be added once get average salary</t>
  </si>
  <si>
    <t>James W, Dawn</t>
  </si>
  <si>
    <t xml:space="preserve">Additional headcount </t>
  </si>
  <si>
    <t>Tax &amp; Treasury*</t>
  </si>
  <si>
    <t>Current facility costs in HK</t>
  </si>
  <si>
    <t>Costs for new employees, tools &amp; facility wifi</t>
  </si>
  <si>
    <t>Code review &amp; security assessment</t>
  </si>
  <si>
    <t>Need to get new-hires on-board</t>
  </si>
  <si>
    <t>2 months of average salary above</t>
  </si>
  <si>
    <t>*Ongoing tax compliance costs assuming target entity still exists for any portion of prior year. Assumes target is already compliant with 2018 filings.</t>
  </si>
  <si>
    <t>TOTAL</t>
  </si>
  <si>
    <t>Nish Jain: NONE EXPECTED</t>
  </si>
  <si>
    <t>Heather</t>
  </si>
  <si>
    <t>Valuation PPA</t>
  </si>
  <si>
    <t>Valuation of Intangibles &amp; Goodwill</t>
  </si>
  <si>
    <t>GT PPA Review</t>
  </si>
  <si>
    <t>External Audit Review of Valuation</t>
  </si>
  <si>
    <t>[Fri (9/20) - Financial model first review (1 of 2)]</t>
  </si>
  <si>
    <t xml:space="preserve">Legal Counsel (External) </t>
  </si>
  <si>
    <t xml:space="preserve">Blackduck Code Scan </t>
  </si>
  <si>
    <t>Delta</t>
  </si>
  <si>
    <t>Rent-Current premises</t>
  </si>
  <si>
    <t>Office Space -lease obligation through 6/31/2020</t>
  </si>
  <si>
    <t>Nish,Peter&amp;LB Email</t>
  </si>
  <si>
    <t>Workplace</t>
  </si>
  <si>
    <t>"Base" Rent for WeWork</t>
  </si>
  <si>
    <t>Assumes 26 heads Q1 - 28 heads Q3 - flat at 28 forward -            numbers reflect cost to secure the space in Q1</t>
  </si>
  <si>
    <t>n/a - utilize existing MSP/ HC IT support strategy for region</t>
  </si>
  <si>
    <t xml:space="preserve">Existing headcount and external resources will suffice </t>
  </si>
  <si>
    <t>BBragg</t>
  </si>
  <si>
    <t>Laptops/ Monitors / Docs</t>
  </si>
  <si>
    <t>Hitrust compliance and employee productivity standard, Apac expensed in Qtr</t>
  </si>
  <si>
    <t>Zoom Equipment</t>
  </si>
  <si>
    <t>Presumes conference needs at location met by facility and laptops</t>
  </si>
  <si>
    <t>n/a</t>
  </si>
  <si>
    <t>Fitbit-Corp Wifi</t>
  </si>
  <si>
    <t>Presumes co-working location (e.g. WeWork?) and procuring as a service from the facility.</t>
  </si>
  <si>
    <t>Printers</t>
  </si>
  <si>
    <t>Presume co-working location provided and usage billed to local CC</t>
  </si>
  <si>
    <t>Google/ Slack /Zoom /O365</t>
  </si>
  <si>
    <t>Sufficient existing terms</t>
  </si>
  <si>
    <t>Likely Jonah Org as current model</t>
  </si>
  <si>
    <t>Special software : Adobe, Zepplin, Sketch</t>
  </si>
  <si>
    <t>Existing design tools and similar to FB standards used by ID</t>
  </si>
  <si>
    <t>Outside Services</t>
  </si>
  <si>
    <t>Temp IT Systems Engineer in APAC to support, transition and decom existing internal systems</t>
  </si>
  <si>
    <t>( Existing migration tools will suffice for performing the tasks. Do not fore see any additional costs)</t>
  </si>
  <si>
    <t>jwerrett</t>
  </si>
  <si>
    <t>Open Source and Third-Party Code Audit</t>
  </si>
  <si>
    <t>Identify the source and license of  third-party software in Delta code bases</t>
  </si>
  <si>
    <t>Open Source Risk Assessment</t>
  </si>
  <si>
    <t>Identify known vulnerbailities and security deficiencies in Delta code bases</t>
  </si>
  <si>
    <t>Penetration Test</t>
  </si>
  <si>
    <t>Assess Delta backend services and infrastructure for security vulnerabilities and misconfigurations</t>
  </si>
  <si>
    <t>Source/Location</t>
  </si>
  <si>
    <t xml:space="preserve">2H </t>
  </si>
  <si>
    <t xml:space="preserve">1H </t>
  </si>
  <si>
    <t>2H</t>
  </si>
  <si>
    <t>1H</t>
  </si>
  <si>
    <t>Delta Existing</t>
  </si>
  <si>
    <t>Asia New</t>
  </si>
  <si>
    <t>HK New</t>
  </si>
  <si>
    <t>Total</t>
  </si>
  <si>
    <t>Ops</t>
  </si>
  <si>
    <t>CS Costs</t>
  </si>
  <si>
    <t>Logistics costs of shipping out Doki replacement units</t>
  </si>
  <si>
    <t>Field Issue Invesgiation</t>
  </si>
  <si>
    <t xml:space="preserve">Need to add budget to Bobinders Ops team </t>
  </si>
  <si>
    <t>DELTA COST CENTRE MODEL - DRAFT&amp;CONFIDENTIAL</t>
  </si>
  <si>
    <t>STATUS</t>
  </si>
  <si>
    <t xml:space="preserve">     - Includes 14 existing heads and 14 new hires (13 engineers plus 1 product designer)</t>
  </si>
  <si>
    <t xml:space="preserve">     - cost centre will roll into Jon Oakes</t>
  </si>
  <si>
    <t>TOTAL COSTS</t>
  </si>
  <si>
    <t>Provided by</t>
  </si>
  <si>
    <t>FY</t>
  </si>
  <si>
    <t>FY 2019 - 2022</t>
  </si>
  <si>
    <t>Delta Employees</t>
  </si>
  <si>
    <t>New Employees in HK</t>
  </si>
  <si>
    <t>TOTAL DELTA HC</t>
  </si>
  <si>
    <t>Promo costs</t>
  </si>
  <si>
    <t>LB</t>
  </si>
  <si>
    <t>Back end rebates</t>
  </si>
  <si>
    <t>Returns</t>
  </si>
  <si>
    <t>Audrey</t>
  </si>
  <si>
    <t>Inventory E&amp;O - Doki first generation units</t>
  </si>
  <si>
    <t>Inventory write off - units that we will not sell</t>
  </si>
  <si>
    <t>Operating costs:</t>
  </si>
  <si>
    <t>Gross wages - yoy inc</t>
  </si>
  <si>
    <t xml:space="preserve">Gross Wages </t>
  </si>
  <si>
    <t>Bonus - yoy inc</t>
  </si>
  <si>
    <t>Bonus</t>
  </si>
  <si>
    <t>Fringe assumption</t>
  </si>
  <si>
    <t>Fringe</t>
  </si>
  <si>
    <t>Retention</t>
  </si>
  <si>
    <t>Severance</t>
  </si>
  <si>
    <t>HC Related costs</t>
  </si>
  <si>
    <t>T&amp;E - per person p.a</t>
  </si>
  <si>
    <t>T&amp;E</t>
  </si>
  <si>
    <t>Facility and Office Exp</t>
  </si>
  <si>
    <t>Peter</t>
  </si>
  <si>
    <t>IT Costs - security</t>
  </si>
  <si>
    <t>IT team</t>
  </si>
  <si>
    <t>IT Costs - integration</t>
  </si>
  <si>
    <t>IT Costs - ongoing</t>
  </si>
  <si>
    <t>Valuation reviews - BVA+External cost</t>
  </si>
  <si>
    <t>Legal/Deal Expenses</t>
  </si>
  <si>
    <t>Tata communications</t>
  </si>
  <si>
    <t>Paul Quinn</t>
  </si>
  <si>
    <t>Tax</t>
  </si>
  <si>
    <t>Anu/Harvey</t>
  </si>
  <si>
    <t>Other</t>
  </si>
  <si>
    <t>Nish/Tom</t>
  </si>
  <si>
    <t>Total Operating costs</t>
  </si>
  <si>
    <t>Check</t>
  </si>
  <si>
    <t>Gross Wages</t>
  </si>
  <si>
    <t>Still haven't got levelling/hr inputs</t>
  </si>
  <si>
    <t>Recruiting cost</t>
  </si>
  <si>
    <t xml:space="preserve">Facility and Office Exp </t>
  </si>
  <si>
    <t>Inventory E&amp;O + write off</t>
  </si>
  <si>
    <t>Per Ryan Krenms, add 2mths of average salary for this</t>
  </si>
  <si>
    <t>Valuation reviews</t>
  </si>
  <si>
    <t>Engineering non h/c</t>
  </si>
  <si>
    <t>Stamp duty cost - 2% of shares of company - would it go to p&amp;l?</t>
  </si>
  <si>
    <t>Total one off costs</t>
  </si>
  <si>
    <t>HC Costs</t>
  </si>
  <si>
    <t>Non HC Costs</t>
  </si>
  <si>
    <t>FP&amp;A</t>
  </si>
  <si>
    <t>Non GAAP Costs</t>
  </si>
  <si>
    <t>RSUs</t>
  </si>
  <si>
    <t>HC Costs Copy of Delta Comp v2- 9.27.19 - Sent to Casper.xlsx</t>
  </si>
  <si>
    <t>Jonathan W</t>
  </si>
  <si>
    <t>- curent headcount</t>
  </si>
  <si>
    <t>- new headcount</t>
  </si>
  <si>
    <t>Bill B</t>
  </si>
  <si>
    <t>IT Costs - security Blackduck</t>
  </si>
  <si>
    <t>Total Costs associated with current employees</t>
  </si>
  <si>
    <t>Costs related to New Employees in HK</t>
  </si>
  <si>
    <t>Total costs (including one off costs)</t>
  </si>
  <si>
    <t>IT Costs - security/Blackduck costs</t>
  </si>
  <si>
    <t>Cost of goods sold</t>
  </si>
  <si>
    <t>Part of working capital/purchase price negotiation - will either be paid by them before integration or posted against goodwill</t>
  </si>
  <si>
    <t>Working capital costs - purchase price negotiation or posted against Goodwill</t>
  </si>
  <si>
    <t>One time costs:</t>
  </si>
  <si>
    <t>Deal costs</t>
  </si>
  <si>
    <t>Integration costs</t>
  </si>
  <si>
    <t>- Expect cash usage of $3m-$3.5m upon signing</t>
  </si>
  <si>
    <t>Dale (in email)</t>
  </si>
  <si>
    <t>adde by LB based on email from Ryan</t>
  </si>
  <si>
    <t>alibaba cloud</t>
  </si>
  <si>
    <t>For 4Q2019 only as we will want to support the PRC mode for a limited time only.</t>
  </si>
  <si>
    <t>Github - Yes - Through 4Q2020 (small amount, want to make sure it isn't effecting their work flow for existing users)</t>
  </si>
  <si>
    <t>Mailchimp - Yes - Through 4Q2020 (would expect this to be a much smaller amount that they were having before)</t>
  </si>
  <si>
    <t>Linode - Yes - Through 4Q2020 (not sure what they are using for, but a really small amount)</t>
  </si>
  <si>
    <t>AWS - Yes - Through 4Q2020 (this is to support their current user base)</t>
  </si>
  <si>
    <t>Google Cloud - Yes - Through 4Q2019 (expect these to all be rolled over to Fitbit infra by EOY)</t>
  </si>
  <si>
    <t>Tax - stamp duty</t>
  </si>
  <si>
    <t>Given it results from the transaction and our decision to discontinue selling their product (one time event), there is rationale for it to be GAAP expense only however it is not material enough to consider as GAAP only</t>
  </si>
  <si>
    <t>Bonus % assumption</t>
  </si>
  <si>
    <t>Inventory write off - Buy back of DokiPal units</t>
  </si>
  <si>
    <t>DokiPal Units as of September 1, 2019</t>
  </si>
  <si>
    <t># in inventory at Doki</t>
  </si>
  <si>
    <t># w/ channel Partners</t>
  </si>
  <si>
    <t># sold into Market</t>
  </si>
  <si>
    <t>Sub-total Units</t>
  </si>
  <si>
    <t># activated</t>
  </si>
  <si>
    <t># active (last 30 days)</t>
  </si>
  <si>
    <t># active (last 6 Months) (i.e., pinged server at least once in last 6 months)</t>
  </si>
  <si>
    <t>Warranty Period Length</t>
  </si>
  <si>
    <t># units defective / warranty claim</t>
  </si>
  <si>
    <t>Cost of Replacements</t>
  </si>
  <si>
    <t># Still Under warranty</t>
  </si>
  <si>
    <t>?</t>
  </si>
  <si>
    <t>12 months</t>
  </si>
  <si>
    <t>$65/ unit</t>
  </si>
  <si>
    <t>All</t>
  </si>
  <si>
    <t>We don't have visibility on the # of units our distributors/ retailers have in stock</t>
  </si>
  <si>
    <t>This is the total # of units we sold through wholesale and online channels</t>
  </si>
  <si>
    <t>Added by LB:</t>
  </si>
  <si>
    <t>Invoice price disti would have paid</t>
  </si>
  <si>
    <t>10% mark up to incentivise partners to return stock</t>
  </si>
  <si>
    <t>Q for Audrey - why multiply by 40% for returns?</t>
  </si>
  <si>
    <t>% of units able to repurchase</t>
  </si>
  <si>
    <t>This is a q for Bobinder?</t>
  </si>
  <si>
    <t>Will we write these off/keep them for returns/warranty (in which case a double hit to the p&amp;l is showing)?</t>
  </si>
  <si>
    <t>- 1-time integration/deal costs of $900k, additional costs of $452k expected to be negotiated as part of purchase price/working capital negotiation</t>
  </si>
  <si>
    <t>- Delta is expected to add approx $3.8m to opex run - rate ($2.8m of which are headcount costs)</t>
  </si>
  <si>
    <r>
      <t>We wanted also to get back to the group on the stamp duty.  The current rate of stamp duty is an aggregate of 0.2 percent (0.1 percent payable by each of Seller and Buyer) of the</t>
    </r>
    <r>
      <rPr>
        <b/>
        <sz val="11"/>
        <color rgb="FF000000"/>
        <rFont val="Calibri"/>
        <family val="2"/>
      </rPr>
      <t xml:space="preserve"> higher of (i) the purchase price or (ii) the value of the stock, which is typically the net asset value of the target</t>
    </r>
    <r>
      <rPr>
        <sz val="11"/>
        <color rgb="FF000000"/>
        <rFont val="Calibri"/>
      </rPr>
      <t xml:space="preserve"> as shown in its latest audited accounts. </t>
    </r>
    <r>
      <rPr>
        <b/>
        <sz val="11"/>
        <color rgb="FF000000"/>
        <rFont val="Calibri"/>
        <family val="2"/>
      </rPr>
      <t xml:space="preserve">The determination of the purchase price (assuming it exceeds NAV) would (1) take into account any purchase price adjustments e.g. working capital adjustment and (2) include the maximum amount of the earnout. </t>
    </r>
    <r>
      <rPr>
        <sz val="11"/>
        <color rgb="FF000000"/>
        <rFont val="Calibri"/>
      </rPr>
      <t>Fyi, there is an opportunity to apply for a refund of excessive stamp duty paid if turns out the actual earnout is less than the maximum, but the period to do so is limited to 2 years.</t>
    </r>
  </si>
  <si>
    <t>IT Costs - laptops etc</t>
  </si>
  <si>
    <t>IT Costs - wi fi&amp;special software</t>
  </si>
  <si>
    <t>Legal expenses - external counsel</t>
  </si>
  <si>
    <t>Agora</t>
  </si>
  <si>
    <t>Engineering - Agora + other aps</t>
  </si>
  <si>
    <t>Zendesk subscription</t>
  </si>
  <si>
    <t>Tax - compliance costs</t>
  </si>
  <si>
    <t>Will Audrey be on the call later?</t>
  </si>
  <si>
    <t>licensing for devt tools - current employees</t>
  </si>
  <si>
    <t>licensing for devt tools - new employees</t>
  </si>
  <si>
    <t>Additional warranty reserve</t>
  </si>
  <si>
    <t>Vacation accrual is not included as its immaterial</t>
  </si>
  <si>
    <t>These are net working capital costs which are not already included in the books at the point of acquisition (whereas the inventory and facilities current lease costs above are our decision once we have already integrated)</t>
  </si>
  <si>
    <t>More engineers</t>
  </si>
  <si>
    <t>Inventory write off - DokiPal units that we will not sell</t>
  </si>
  <si>
    <t xml:space="preserve">- Founder earnout of $2.25 is not included in the p&amp;l </t>
  </si>
  <si>
    <t>Non GAAP run rate costs</t>
  </si>
  <si>
    <t>HAVE MOVED THIS TO FOOTNOTE</t>
  </si>
  <si>
    <t>HAVE PUT FOUNDER EARN OUT COSTS IN AS A FOOTNOTE</t>
  </si>
  <si>
    <t>CHANGE TO MILLIONS</t>
  </si>
  <si>
    <t>Average salary/Eng</t>
  </si>
  <si>
    <t>Average HC Cost/Eng</t>
  </si>
  <si>
    <t>WHICH ONE</t>
  </si>
  <si>
    <t>1.5m founder holdback, 25%, 25% and 50% - 375k in q4 2020 - new category</t>
  </si>
  <si>
    <t>Founder holdback</t>
  </si>
  <si>
    <t xml:space="preserve">New Asia Hires </t>
  </si>
  <si>
    <t>Total Ending HC</t>
  </si>
  <si>
    <t xml:space="preserve">Headcount (HC): </t>
  </si>
  <si>
    <t xml:space="preserve">Total Run Rate Costs </t>
  </si>
  <si>
    <t>Founder Holdback</t>
  </si>
  <si>
    <t>Security Blackduck</t>
  </si>
  <si>
    <t>Integration Costs</t>
  </si>
  <si>
    <t>FY2020</t>
  </si>
  <si>
    <t>2019E</t>
  </si>
  <si>
    <t>2020E</t>
  </si>
  <si>
    <t xml:space="preserve"> Total HC Costs</t>
  </si>
  <si>
    <t xml:space="preserve">Total One-Time Costs </t>
  </si>
  <si>
    <t>Q319</t>
  </si>
  <si>
    <t>Q419</t>
  </si>
  <si>
    <t>2H19</t>
  </si>
  <si>
    <t xml:space="preserve"> Non-HC  Costs</t>
  </si>
  <si>
    <t>1Q20</t>
  </si>
  <si>
    <t>2Q20</t>
  </si>
  <si>
    <t>3Q20</t>
  </si>
  <si>
    <t>4Q20</t>
  </si>
  <si>
    <t xml:space="preserve"> Run Rate Costs:</t>
  </si>
  <si>
    <t xml:space="preserve">One Time Costs: </t>
  </si>
  <si>
    <t>NET TOTAL COSTS</t>
  </si>
  <si>
    <t xml:space="preserve">Deal Costs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</si>
</sst>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2" formatCode="_(&quot;$&quot;* #,##0_);_(&quot;$&quot;* \(#,##0\);_(&quot;$&quot;* &quot;-&quot;_);_(@_)"/>
    <numFmt numFmtId="44" formatCode="_(&quot;$&quot;* #,##0.00_);_(&quot;$&quot;* \(#,##0.00\);_(&quot;$&quot;* &quot;-&quot;??_);_(@_)"/>
    <numFmt numFmtId="43" formatCode="_(* #,##0.00_);_(* \(#,##0.00\);_(* &quot;-&quot;??_);_(@_)"/>
    <numFmt numFmtId="164" formatCode="_-* #,##0.00_-;\-* #,##0.00_-;_-* &quot;-&quot;??_-;_-@_-"/>
    <numFmt numFmtId="165" formatCode="m/d/yy"/>
    <numFmt numFmtId="166" formatCode="_(&quot;$&quot;* #,##0_);_(&quot;$&quot;* \(#,##0\);_(&quot;$&quot;* &quot;-&quot;??_);_(@_)"/>
    <numFmt numFmtId="167" formatCode="&quot;$&quot;#,##0"/>
    <numFmt numFmtId="168" formatCode="_(* #,##0_);_(* \(#,##0\);_(* &quot;-&quot;??_);_(@_)"/>
    <numFmt numFmtId="169" formatCode="_-* #,##0_-;\-* #,##0_-;_-* &quot;-&quot;??_-;_-@_-"/>
    <numFmt numFmtId="170" formatCode="_(&quot;$&quot;* #,##0_);_(&quot;$&quot;* \(#,##0\);_(&quot;$&quot;* &quot;-&quot;?_);_(@_)"/>
  </numFmts>
  <fonts count="82" x14ac:knownFonts="1">
    <font>
      <sz val="11"/>
      <color rgb="FF000000"/>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8"/>
      <color rgb="FF000000"/>
      <name val="Calibri"/>
      <family val="2"/>
    </font>
    <font>
      <sz val="11"/>
      <name val="Calibri"/>
      <family val="2"/>
    </font>
    <font>
      <b/>
      <sz val="11"/>
      <name val="Calibri"/>
      <family val="2"/>
    </font>
    <font>
      <b/>
      <sz val="18"/>
      <name val="Calibri"/>
      <family val="2"/>
    </font>
    <font>
      <sz val="11"/>
      <name val="Calibri"/>
      <family val="2"/>
    </font>
    <font>
      <b/>
      <i/>
      <sz val="11"/>
      <color rgb="FF000000"/>
      <name val="Calibri"/>
      <family val="2"/>
    </font>
    <font>
      <b/>
      <sz val="14"/>
      <color rgb="FF000000"/>
      <name val="Calibri"/>
      <family val="2"/>
    </font>
    <font>
      <b/>
      <sz val="11"/>
      <color rgb="FF000000"/>
      <name val="Calibri"/>
      <family val="2"/>
    </font>
    <font>
      <b/>
      <sz val="11"/>
      <color rgb="FFFFFFFF"/>
      <name val="Calibri"/>
      <family val="2"/>
    </font>
    <font>
      <b/>
      <sz val="11"/>
      <name val="Calibri"/>
      <family val="2"/>
    </font>
    <font>
      <sz val="11"/>
      <color rgb="FF1F497D"/>
      <name val="Arial"/>
      <family val="2"/>
    </font>
    <font>
      <sz val="12"/>
      <color rgb="FF000000"/>
      <name val="Calibri"/>
      <family val="2"/>
    </font>
    <font>
      <sz val="14"/>
      <name val="Calibri"/>
      <family val="2"/>
    </font>
    <font>
      <b/>
      <sz val="14"/>
      <name val="Calibri"/>
      <family val="2"/>
    </font>
    <font>
      <sz val="9"/>
      <color rgb="FF000000"/>
      <name val="Arial"/>
      <family val="2"/>
    </font>
    <font>
      <b/>
      <sz val="11"/>
      <color rgb="FFFFFFFF"/>
      <name val="Calibri"/>
      <family val="2"/>
    </font>
    <font>
      <sz val="11"/>
      <color rgb="FF006100"/>
      <name val="Calibri"/>
      <family val="2"/>
      <scheme val="minor"/>
    </font>
    <font>
      <sz val="11"/>
      <color rgb="FFFF0000"/>
      <name val="Calibri"/>
      <family val="2"/>
      <scheme val="minor"/>
    </font>
    <font>
      <b/>
      <sz val="11"/>
      <color theme="1"/>
      <name val="Calibri"/>
      <family val="2"/>
      <scheme val="minor"/>
    </font>
    <font>
      <b/>
      <u/>
      <sz val="12"/>
      <color theme="1"/>
      <name val="Calibri"/>
      <family val="2"/>
      <scheme val="minor"/>
    </font>
    <font>
      <b/>
      <u/>
      <sz val="24"/>
      <color theme="1"/>
      <name val="Calibri"/>
      <family val="2"/>
      <scheme val="minor"/>
    </font>
    <font>
      <b/>
      <sz val="11"/>
      <color rgb="FFFF0000"/>
      <name val="Calibri"/>
      <family val="2"/>
      <scheme val="minor"/>
    </font>
    <font>
      <sz val="11"/>
      <color rgb="FF0066FF"/>
      <name val="Calibri"/>
      <family val="2"/>
      <scheme val="minor"/>
    </font>
    <font>
      <b/>
      <sz val="12"/>
      <color theme="0"/>
      <name val="Calibri"/>
      <family val="2"/>
      <scheme val="minor"/>
    </font>
    <font>
      <i/>
      <u/>
      <sz val="11"/>
      <color theme="1"/>
      <name val="Calibri"/>
      <family val="2"/>
      <scheme val="minor"/>
    </font>
    <font>
      <sz val="11"/>
      <name val="Calibri"/>
      <family val="2"/>
      <scheme val="minor"/>
    </font>
    <font>
      <b/>
      <i/>
      <sz val="11"/>
      <name val="Calibri"/>
      <family val="2"/>
      <scheme val="minor"/>
    </font>
    <font>
      <b/>
      <sz val="11"/>
      <name val="Calibri"/>
      <family val="2"/>
      <scheme val="minor"/>
    </font>
    <font>
      <b/>
      <i/>
      <sz val="11"/>
      <color theme="1"/>
      <name val="Calibri"/>
      <family val="2"/>
      <scheme val="minor"/>
    </font>
    <font>
      <u/>
      <sz val="11"/>
      <color theme="1"/>
      <name val="Calibri"/>
      <family val="2"/>
      <scheme val="minor"/>
    </font>
    <font>
      <b/>
      <sz val="10"/>
      <color theme="1"/>
      <name val="Calibri"/>
      <family val="2"/>
      <scheme val="minor"/>
    </font>
    <font>
      <i/>
      <sz val="11"/>
      <color theme="1"/>
      <name val="Calibri"/>
      <family val="2"/>
      <scheme val="minor"/>
    </font>
    <font>
      <sz val="10"/>
      <name val="Calibri"/>
      <family val="2"/>
      <scheme val="minor"/>
    </font>
    <font>
      <sz val="10"/>
      <color rgb="FF0066FF"/>
      <name val="Calibri"/>
      <family val="2"/>
      <scheme val="minor"/>
    </font>
    <font>
      <sz val="10"/>
      <color theme="1"/>
      <name val="Calibri"/>
      <family val="2"/>
      <scheme val="minor"/>
    </font>
    <font>
      <i/>
      <sz val="11"/>
      <color rgb="FFFF0000"/>
      <name val="Calibri"/>
      <family val="2"/>
      <scheme val="minor"/>
    </font>
    <font>
      <b/>
      <sz val="10"/>
      <name val="Calibri"/>
      <family val="2"/>
      <scheme val="minor"/>
    </font>
    <font>
      <b/>
      <sz val="10"/>
      <color rgb="FFFF0000"/>
      <name val="Calibri"/>
      <family val="2"/>
      <scheme val="minor"/>
    </font>
    <font>
      <b/>
      <i/>
      <sz val="10"/>
      <color theme="1"/>
      <name val="Calibri"/>
      <family val="2"/>
      <scheme val="minor"/>
    </font>
    <font>
      <u/>
      <sz val="11"/>
      <color theme="10"/>
      <name val="Calibri"/>
    </font>
    <font>
      <sz val="11"/>
      <color rgb="FF000000"/>
      <name val="Calibri"/>
    </font>
    <font>
      <sz val="11"/>
      <color theme="4" tint="-0.249977111117893"/>
      <name val="Calibri"/>
      <family val="2"/>
      <scheme val="minor"/>
    </font>
    <font>
      <sz val="11"/>
      <color rgb="FFFF0000"/>
      <name val="Calibri"/>
      <family val="2"/>
    </font>
    <font>
      <sz val="11"/>
      <color rgb="FF000000"/>
      <name val="Calibri"/>
      <family val="2"/>
    </font>
    <font>
      <i/>
      <sz val="11"/>
      <color theme="4" tint="-0.249977111117893"/>
      <name val="Calibri"/>
      <family val="2"/>
      <scheme val="minor"/>
    </font>
    <font>
      <sz val="10"/>
      <color theme="4" tint="-0.249977111117893"/>
      <name val="Calibri"/>
      <family val="2"/>
      <scheme val="minor"/>
    </font>
    <font>
      <sz val="10"/>
      <color rgb="FF000000"/>
      <name val="Arial"/>
    </font>
    <font>
      <sz val="10"/>
      <color theme="1"/>
      <name val="Arial"/>
    </font>
    <font>
      <b/>
      <sz val="10"/>
      <color rgb="FFFFFFFF"/>
      <name val="Arial"/>
    </font>
    <font>
      <b/>
      <sz val="10"/>
      <color theme="1"/>
      <name val="Arial"/>
    </font>
    <font>
      <u/>
      <sz val="10"/>
      <color rgb="FF000000"/>
      <name val="Arial"/>
      <family val="2"/>
    </font>
    <font>
      <sz val="10"/>
      <color rgb="FF000000"/>
      <name val="Arial"/>
      <family val="2"/>
    </font>
    <font>
      <sz val="10"/>
      <color rgb="FFFF0000"/>
      <name val="Arial"/>
      <family val="2"/>
    </font>
    <font>
      <sz val="14"/>
      <name val="Calibri"/>
      <family val="2"/>
      <scheme val="minor"/>
    </font>
    <font>
      <sz val="14"/>
      <color theme="1"/>
      <name val="Calibri"/>
      <family val="2"/>
      <scheme val="minor"/>
    </font>
    <font>
      <b/>
      <sz val="10"/>
      <color theme="1"/>
      <name val="Arial"/>
      <family val="2"/>
    </font>
    <font>
      <sz val="10"/>
      <name val="Arial"/>
      <family val="2"/>
    </font>
    <font>
      <sz val="10"/>
      <color rgb="FF0066FF"/>
      <name val="Arial"/>
      <family val="2"/>
    </font>
    <font>
      <sz val="10"/>
      <color theme="1"/>
      <name val="Arial"/>
      <family val="2"/>
    </font>
    <font>
      <b/>
      <sz val="10"/>
      <name val="Arial"/>
      <family val="2"/>
    </font>
    <font>
      <sz val="10"/>
      <color theme="4" tint="-0.249977111117893"/>
      <name val="Arial"/>
      <family val="2"/>
    </font>
    <font>
      <b/>
      <sz val="10"/>
      <color rgb="FFFF0000"/>
      <name val="Arial"/>
      <family val="2"/>
    </font>
    <font>
      <b/>
      <i/>
      <sz val="10"/>
      <color theme="1"/>
      <name val="Arial"/>
      <family val="2"/>
    </font>
    <font>
      <u/>
      <sz val="10"/>
      <color theme="1"/>
      <name val="Arial"/>
      <family val="2"/>
    </font>
    <font>
      <u/>
      <sz val="10"/>
      <name val="Arial"/>
      <family val="2"/>
    </font>
    <font>
      <u val="singleAccounting"/>
      <sz val="10"/>
      <color theme="1"/>
      <name val="Arial"/>
      <family val="2"/>
    </font>
    <font>
      <b/>
      <u/>
      <sz val="10"/>
      <color theme="1"/>
      <name val="Arial"/>
      <family val="2"/>
    </font>
    <font>
      <b/>
      <sz val="10"/>
      <color theme="0"/>
      <name val="Arial"/>
      <family val="2"/>
    </font>
    <font>
      <b/>
      <i/>
      <sz val="10"/>
      <name val="Arial"/>
      <family val="2"/>
    </font>
    <font>
      <b/>
      <u val="singleAccounting"/>
      <sz val="10"/>
      <color theme="1"/>
      <name val="Arial"/>
      <family val="2"/>
    </font>
    <font>
      <i/>
      <sz val="10"/>
      <color theme="1"/>
      <name val="Arial"/>
      <family val="2"/>
    </font>
    <font>
      <i/>
      <sz val="10"/>
      <color theme="4" tint="-0.249977111117893"/>
      <name val="Arial"/>
      <family val="2"/>
    </font>
    <font>
      <u/>
      <sz val="10"/>
      <color theme="10"/>
      <name val="Arial"/>
      <family val="2"/>
    </font>
    <font>
      <i/>
      <sz val="10"/>
      <color rgb="FFFF0000"/>
      <name val="Arial"/>
      <family val="2"/>
    </font>
    <font>
      <strike/>
      <sz val="10"/>
      <color theme="1"/>
      <name val="Arial"/>
      <family val="2"/>
    </font>
  </fonts>
  <fills count="31">
    <fill>
      <patternFill patternType="none"/>
    </fill>
    <fill>
      <patternFill patternType="gray125"/>
    </fill>
    <fill>
      <patternFill patternType="solid">
        <fgColor rgb="FFFFFFFF"/>
        <bgColor rgb="FFFFFFFF"/>
      </patternFill>
    </fill>
    <fill>
      <patternFill patternType="solid">
        <fgColor rgb="FFEFEFEF"/>
        <bgColor rgb="FFEFEFEF"/>
      </patternFill>
    </fill>
    <fill>
      <patternFill patternType="solid">
        <fgColor rgb="FF2F5496"/>
        <bgColor rgb="FF2F5496"/>
      </patternFill>
    </fill>
    <fill>
      <patternFill patternType="solid">
        <fgColor rgb="FFFEF2CB"/>
        <bgColor rgb="FFFEF2CB"/>
      </patternFill>
    </fill>
    <fill>
      <patternFill patternType="solid">
        <fgColor rgb="FF00FF00"/>
        <bgColor rgb="FF00FF00"/>
      </patternFill>
    </fill>
    <fill>
      <patternFill patternType="solid">
        <fgColor rgb="FFA2C4C9"/>
        <bgColor rgb="FFA2C4C9"/>
      </patternFill>
    </fill>
    <fill>
      <patternFill patternType="solid">
        <fgColor rgb="FFFFF2CC"/>
        <bgColor rgb="FFFFF2CC"/>
      </patternFill>
    </fill>
    <fill>
      <patternFill patternType="solid">
        <fgColor rgb="FFCCCCCC"/>
        <bgColor rgb="FFCCCCCC"/>
      </patternFill>
    </fill>
    <fill>
      <patternFill patternType="solid">
        <fgColor rgb="FFEA9999"/>
        <bgColor rgb="FFEA9999"/>
      </patternFill>
    </fill>
    <fill>
      <patternFill patternType="solid">
        <fgColor rgb="FFFFFF00"/>
        <bgColor rgb="FFFFFF00"/>
      </patternFill>
    </fill>
    <fill>
      <patternFill patternType="solid">
        <fgColor rgb="FFF9CB9C"/>
        <bgColor rgb="FFF9CB9C"/>
      </patternFill>
    </fill>
    <fill>
      <patternFill patternType="solid">
        <fgColor rgb="FF000000"/>
        <bgColor rgb="FF000000"/>
      </patternFill>
    </fill>
    <fill>
      <patternFill patternType="solid">
        <fgColor rgb="FF4A86E8"/>
        <bgColor rgb="FF4A86E8"/>
      </patternFill>
    </fill>
    <fill>
      <patternFill patternType="solid">
        <fgColor rgb="FF9900FF"/>
        <bgColor rgb="FF9900FF"/>
      </patternFill>
    </fill>
    <fill>
      <patternFill patternType="solid">
        <fgColor rgb="FF6AA84F"/>
        <bgColor rgb="FF6AA84F"/>
      </patternFill>
    </fill>
    <fill>
      <patternFill patternType="solid">
        <fgColor rgb="FFC6EFCE"/>
      </patternFill>
    </fill>
    <fill>
      <patternFill patternType="solid">
        <fgColor theme="4" tint="-0.249977111117893"/>
        <bgColor indexed="64"/>
      </patternFill>
    </fill>
    <fill>
      <patternFill patternType="solid">
        <fgColor theme="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rgb="FFFFFF00"/>
        <bgColor indexed="64"/>
      </patternFill>
    </fill>
    <fill>
      <patternFill patternType="solid">
        <fgColor rgb="FF3C78D8"/>
        <bgColor rgb="FF3C78D8"/>
      </patternFill>
    </fill>
    <fill>
      <patternFill patternType="solid">
        <fgColor rgb="FFFF0000"/>
        <bgColor indexed="64"/>
      </patternFill>
    </fill>
    <fill>
      <patternFill patternType="solid">
        <fgColor theme="3" tint="0.79998168889431442"/>
        <bgColor indexed="64"/>
      </patternFill>
    </fill>
    <fill>
      <patternFill patternType="solid">
        <fgColor theme="8"/>
        <bgColor indexed="64"/>
      </patternFill>
    </fill>
    <fill>
      <patternFill patternType="solid">
        <fgColor rgb="FF002060"/>
        <bgColor indexed="64"/>
      </patternFill>
    </fill>
    <fill>
      <patternFill patternType="solid">
        <fgColor theme="0"/>
        <bgColor indexed="64"/>
      </patternFill>
    </fill>
  </fills>
  <borders count="8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diagonal/>
    </border>
    <border>
      <left style="hair">
        <color rgb="FF000000"/>
      </left>
      <right style="hair">
        <color rgb="FF000000"/>
      </right>
      <top/>
      <bottom style="hair">
        <color rgb="FF000000"/>
      </bottom>
      <diagonal/>
    </border>
    <border>
      <left style="hair">
        <color rgb="FF000000"/>
      </left>
      <right/>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right/>
      <top/>
      <bottom style="hair">
        <color rgb="FF000000"/>
      </bottom>
      <diagonal/>
    </border>
    <border>
      <left/>
      <right style="hair">
        <color rgb="FF000000"/>
      </right>
      <top style="hair">
        <color rgb="FF000000"/>
      </top>
      <bottom style="hair">
        <color rgb="FF000000"/>
      </bottom>
      <diagonal/>
    </border>
    <border>
      <left/>
      <right/>
      <top style="hair">
        <color rgb="FF000000"/>
      </top>
      <bottom style="hair">
        <color rgb="FF000000"/>
      </bottom>
      <diagonal/>
    </border>
    <border>
      <left style="thin">
        <color rgb="FF000000"/>
      </left>
      <right/>
      <top style="thin">
        <color rgb="FF000000"/>
      </top>
      <bottom/>
      <diagonal/>
    </border>
    <border>
      <left/>
      <right/>
      <top style="thin">
        <color rgb="FF000000"/>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hair">
        <color rgb="FF000000"/>
      </left>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style="hair">
        <color rgb="FF000000"/>
      </left>
      <right style="thin">
        <color rgb="FF000000"/>
      </right>
      <top style="hair">
        <color rgb="FF000000"/>
      </top>
      <bottom/>
      <diagonal/>
    </border>
    <border>
      <left/>
      <right style="thin">
        <color rgb="FF000000"/>
      </right>
      <top style="thin">
        <color rgb="FF000000"/>
      </top>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style="thin">
        <color rgb="FF000000"/>
      </left>
      <right style="hair">
        <color rgb="FF000000"/>
      </right>
      <top style="hair">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diagonal/>
    </border>
    <border>
      <left/>
      <right/>
      <top/>
      <bottom style="thin">
        <color indexed="64"/>
      </bottom>
      <diagonal/>
    </border>
    <border>
      <left style="thin">
        <color indexed="64"/>
      </left>
      <right/>
      <top/>
      <bottom style="thin">
        <color indexed="64"/>
      </bottom>
      <diagonal/>
    </border>
    <border>
      <left style="medium">
        <color indexed="64"/>
      </left>
      <right/>
      <top/>
      <bottom style="thin">
        <color indexed="64"/>
      </bottom>
      <diagonal/>
    </border>
    <border>
      <left/>
      <right style="medium">
        <color indexed="64"/>
      </right>
      <top/>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thin">
        <color indexed="64"/>
      </left>
      <right/>
      <top/>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style="thin">
        <color indexed="64"/>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diagonal/>
    </border>
  </borders>
  <cellStyleXfs count="10">
    <xf numFmtId="0" fontId="0" fillId="0" borderId="0"/>
    <xf numFmtId="0" fontId="6" fillId="0" borderId="28"/>
    <xf numFmtId="44" fontId="6" fillId="0" borderId="28" applyFont="0" applyFill="0" applyBorder="0" applyAlignment="0" applyProtection="0"/>
    <xf numFmtId="43" fontId="6" fillId="0" borderId="28" applyFont="0" applyFill="0" applyBorder="0" applyAlignment="0" applyProtection="0"/>
    <xf numFmtId="9" fontId="6" fillId="0" borderId="28" applyFont="0" applyFill="0" applyBorder="0" applyAlignment="0" applyProtection="0"/>
    <xf numFmtId="0" fontId="23" fillId="17" borderId="28" applyNumberFormat="0" applyBorder="0" applyAlignment="0" applyProtection="0"/>
    <xf numFmtId="0" fontId="46" fillId="0" borderId="0" applyNumberFormat="0" applyFill="0" applyBorder="0" applyAlignment="0" applyProtection="0"/>
    <xf numFmtId="9" fontId="47" fillId="0" borderId="0" applyFont="0" applyFill="0" applyBorder="0" applyAlignment="0" applyProtection="0"/>
    <xf numFmtId="164" fontId="47" fillId="0" borderId="0" applyFont="0" applyFill="0" applyBorder="0" applyAlignment="0" applyProtection="0"/>
    <xf numFmtId="0" fontId="53" fillId="0" borderId="28"/>
  </cellStyleXfs>
  <cellXfs count="806">
    <xf numFmtId="0" fontId="0" fillId="0" borderId="0" xfId="0" applyFont="1" applyAlignment="1"/>
    <xf numFmtId="0" fontId="7" fillId="0" borderId="0" xfId="0" applyFont="1" applyAlignment="1"/>
    <xf numFmtId="0" fontId="8" fillId="2" borderId="0" xfId="0" applyFont="1" applyFill="1"/>
    <xf numFmtId="0" fontId="9" fillId="0" borderId="0" xfId="0" applyFont="1" applyAlignment="1"/>
    <xf numFmtId="0" fontId="10" fillId="0" borderId="0" xfId="0" applyFont="1" applyAlignment="1">
      <alignment horizontal="center"/>
    </xf>
    <xf numFmtId="0" fontId="11" fillId="0" borderId="0" xfId="0" applyFont="1"/>
    <xf numFmtId="9" fontId="11" fillId="0" borderId="0" xfId="0" applyNumberFormat="1" applyFont="1" applyAlignment="1"/>
    <xf numFmtId="0" fontId="13" fillId="0" borderId="0" xfId="0" applyFont="1"/>
    <xf numFmtId="0" fontId="15" fillId="0" borderId="0" xfId="0" applyFont="1" applyAlignment="1">
      <alignment horizontal="center" vertical="center" wrapText="1"/>
    </xf>
    <xf numFmtId="0" fontId="14" fillId="0" borderId="4" xfId="0" applyFont="1" applyBorder="1" applyAlignment="1"/>
    <xf numFmtId="0" fontId="8" fillId="0" borderId="4" xfId="0" applyFont="1" applyBorder="1"/>
    <xf numFmtId="0" fontId="15" fillId="0" borderId="0" xfId="0" applyFont="1" applyAlignment="1">
      <alignment horizontal="center" vertical="center" wrapText="1"/>
    </xf>
    <xf numFmtId="0" fontId="16" fillId="0" borderId="4" xfId="0" applyFont="1" applyBorder="1" applyAlignment="1"/>
    <xf numFmtId="165" fontId="14" fillId="0" borderId="4" xfId="0" applyNumberFormat="1" applyFont="1" applyBorder="1" applyAlignment="1">
      <alignment horizontal="center" vertical="center" wrapText="1"/>
    </xf>
    <xf numFmtId="0" fontId="9" fillId="0" borderId="4" xfId="0" applyFont="1" applyBorder="1" applyAlignment="1"/>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wrapText="1"/>
    </xf>
    <xf numFmtId="0" fontId="15" fillId="4" borderId="6" xfId="0" applyFont="1" applyFill="1" applyBorder="1" applyAlignment="1">
      <alignment horizontal="center" vertical="center" wrapText="1"/>
    </xf>
    <xf numFmtId="0" fontId="15" fillId="4" borderId="7" xfId="0" applyFont="1" applyFill="1" applyBorder="1" applyAlignment="1">
      <alignment horizontal="center" vertical="center" wrapText="1"/>
    </xf>
    <xf numFmtId="0" fontId="15" fillId="4" borderId="8" xfId="0" applyFont="1" applyFill="1" applyBorder="1" applyAlignment="1">
      <alignment horizontal="center" vertical="center" wrapText="1"/>
    </xf>
    <xf numFmtId="0" fontId="15" fillId="4" borderId="9" xfId="0" applyFont="1" applyFill="1" applyBorder="1" applyAlignment="1">
      <alignment horizontal="center" vertical="center" wrapText="1"/>
    </xf>
    <xf numFmtId="0" fontId="15" fillId="4" borderId="10" xfId="0" applyFont="1" applyFill="1" applyBorder="1" applyAlignment="1">
      <alignment horizontal="center" vertical="center" wrapText="1"/>
    </xf>
    <xf numFmtId="0" fontId="15" fillId="4" borderId="11" xfId="0" applyFont="1" applyFill="1" applyBorder="1" applyAlignment="1">
      <alignment horizontal="center" vertical="center" wrapText="1"/>
    </xf>
    <xf numFmtId="0" fontId="15" fillId="4" borderId="12" xfId="0" applyFont="1" applyFill="1" applyBorder="1" applyAlignment="1">
      <alignment horizontal="center" vertical="center" wrapText="1"/>
    </xf>
    <xf numFmtId="0" fontId="15" fillId="4" borderId="13" xfId="0" applyFont="1" applyFill="1" applyBorder="1" applyAlignment="1">
      <alignment horizontal="center" vertical="center" wrapText="1"/>
    </xf>
    <xf numFmtId="0" fontId="15" fillId="4" borderId="8" xfId="0" applyFont="1" applyFill="1" applyBorder="1" applyAlignment="1">
      <alignment horizontal="center" vertical="center" wrapText="1"/>
    </xf>
    <xf numFmtId="0" fontId="15" fillId="4" borderId="9" xfId="0" applyFont="1" applyFill="1" applyBorder="1" applyAlignment="1">
      <alignment horizontal="center" vertical="center" wrapText="1"/>
    </xf>
    <xf numFmtId="0" fontId="0" fillId="5" borderId="14" xfId="0" applyFont="1" applyFill="1" applyBorder="1" applyAlignment="1">
      <alignment horizontal="center"/>
    </xf>
    <xf numFmtId="0" fontId="11" fillId="0" borderId="0" xfId="0" applyFont="1" applyAlignment="1"/>
    <xf numFmtId="0" fontId="0" fillId="6" borderId="14" xfId="0" applyFont="1" applyFill="1" applyBorder="1" applyAlignment="1">
      <alignment horizontal="center"/>
    </xf>
    <xf numFmtId="0" fontId="0" fillId="5" borderId="15" xfId="0" applyFont="1" applyFill="1" applyBorder="1" applyAlignment="1">
      <alignment horizontal="center"/>
    </xf>
    <xf numFmtId="166" fontId="0" fillId="0" borderId="16" xfId="0" applyNumberFormat="1" applyFont="1" applyBorder="1" applyAlignment="1"/>
    <xf numFmtId="4" fontId="11" fillId="0" borderId="17" xfId="0" applyNumberFormat="1" applyFont="1" applyBorder="1"/>
    <xf numFmtId="166" fontId="0" fillId="0" borderId="17" xfId="0" applyNumberFormat="1" applyFont="1" applyBorder="1" applyAlignment="1"/>
    <xf numFmtId="4" fontId="11" fillId="0" borderId="18" xfId="0" applyNumberFormat="1" applyFont="1" applyBorder="1"/>
    <xf numFmtId="0" fontId="0" fillId="5" borderId="18" xfId="0" applyFont="1" applyFill="1" applyBorder="1" applyAlignment="1">
      <alignment horizontal="center"/>
    </xf>
    <xf numFmtId="4" fontId="11" fillId="0" borderId="16" xfId="0" applyNumberFormat="1" applyFont="1" applyBorder="1"/>
    <xf numFmtId="14" fontId="0" fillId="5" borderId="15" xfId="0" applyNumberFormat="1" applyFont="1" applyFill="1" applyBorder="1" applyAlignment="1">
      <alignment horizontal="center"/>
    </xf>
    <xf numFmtId="4" fontId="11" fillId="0" borderId="19" xfId="0" applyNumberFormat="1" applyFont="1" applyBorder="1"/>
    <xf numFmtId="166" fontId="0" fillId="5" borderId="20" xfId="0" applyNumberFormat="1" applyFont="1" applyFill="1" applyBorder="1" applyAlignment="1">
      <alignment horizontal="center"/>
    </xf>
    <xf numFmtId="0" fontId="0" fillId="5" borderId="17" xfId="0" applyFont="1" applyFill="1" applyBorder="1" applyAlignment="1">
      <alignment horizontal="center"/>
    </xf>
    <xf numFmtId="4" fontId="11" fillId="0" borderId="21" xfId="0" applyNumberFormat="1" applyFont="1" applyBorder="1"/>
    <xf numFmtId="14" fontId="0" fillId="5" borderId="18" xfId="0" applyNumberFormat="1" applyFont="1" applyFill="1" applyBorder="1" applyAlignment="1">
      <alignment horizontal="center"/>
    </xf>
    <xf numFmtId="14" fontId="0" fillId="5" borderId="17" xfId="0" applyNumberFormat="1" applyFont="1" applyFill="1" applyBorder="1" applyAlignment="1">
      <alignment horizontal="center"/>
    </xf>
    <xf numFmtId="166" fontId="0" fillId="5" borderId="22" xfId="0" applyNumberFormat="1" applyFont="1" applyFill="1" applyBorder="1" applyAlignment="1">
      <alignment horizontal="center"/>
    </xf>
    <xf numFmtId="0" fontId="0" fillId="5" borderId="15" xfId="0" applyFont="1" applyFill="1" applyBorder="1" applyAlignment="1">
      <alignment horizontal="left"/>
    </xf>
    <xf numFmtId="0" fontId="0" fillId="5" borderId="14" xfId="0" applyFont="1" applyFill="1" applyBorder="1" applyAlignment="1">
      <alignment horizontal="left" wrapText="1"/>
    </xf>
    <xf numFmtId="0" fontId="0" fillId="7" borderId="17" xfId="0" applyFont="1" applyFill="1" applyBorder="1" applyAlignment="1">
      <alignment horizontal="center"/>
    </xf>
    <xf numFmtId="0" fontId="0" fillId="8" borderId="17" xfId="0" applyFont="1" applyFill="1" applyBorder="1" applyAlignment="1">
      <alignment horizontal="center"/>
    </xf>
    <xf numFmtId="0" fontId="0" fillId="8" borderId="17" xfId="0" quotePrefix="1" applyFont="1" applyFill="1" applyBorder="1" applyAlignment="1">
      <alignment horizontal="center"/>
    </xf>
    <xf numFmtId="0" fontId="0" fillId="0" borderId="0" xfId="0" applyFont="1"/>
    <xf numFmtId="0" fontId="17" fillId="0" borderId="0" xfId="0" applyFont="1" applyAlignment="1"/>
    <xf numFmtId="0" fontId="14" fillId="0" borderId="23" xfId="0" applyFont="1" applyBorder="1"/>
    <xf numFmtId="0" fontId="14" fillId="0" borderId="24" xfId="0" applyFont="1" applyBorder="1"/>
    <xf numFmtId="0" fontId="15" fillId="4" borderId="25" xfId="0" applyFont="1" applyFill="1" applyBorder="1" applyAlignment="1">
      <alignment horizontal="center" vertical="center" wrapText="1"/>
    </xf>
    <xf numFmtId="0" fontId="15" fillId="4" borderId="29" xfId="0" applyFont="1" applyFill="1" applyBorder="1" applyAlignment="1">
      <alignment horizontal="center" vertical="center" wrapText="1"/>
    </xf>
    <xf numFmtId="166" fontId="0" fillId="5" borderId="16" xfId="0" applyNumberFormat="1" applyFont="1" applyFill="1" applyBorder="1" applyAlignment="1">
      <alignment horizontal="center"/>
    </xf>
    <xf numFmtId="166" fontId="11" fillId="5" borderId="17" xfId="0" applyNumberFormat="1" applyFont="1" applyFill="1" applyBorder="1" applyAlignment="1">
      <alignment horizontal="center"/>
    </xf>
    <xf numFmtId="166" fontId="0" fillId="5" borderId="18" xfId="0" applyNumberFormat="1" applyFont="1" applyFill="1" applyBorder="1" applyAlignment="1">
      <alignment horizontal="center"/>
    </xf>
    <xf numFmtId="166" fontId="0" fillId="5" borderId="17" xfId="0" applyNumberFormat="1" applyFont="1" applyFill="1" applyBorder="1" applyAlignment="1">
      <alignment horizontal="center"/>
    </xf>
    <xf numFmtId="0" fontId="11" fillId="5" borderId="17" xfId="0" applyFont="1" applyFill="1" applyBorder="1" applyAlignment="1">
      <alignment horizontal="center"/>
    </xf>
    <xf numFmtId="0" fontId="11" fillId="9" borderId="0" xfId="0" applyFont="1" applyFill="1"/>
    <xf numFmtId="0" fontId="11" fillId="9" borderId="0" xfId="0" applyFont="1" applyFill="1" applyAlignment="1"/>
    <xf numFmtId="166" fontId="11" fillId="5" borderId="16" xfId="0" applyNumberFormat="1" applyFont="1" applyFill="1" applyBorder="1" applyAlignment="1">
      <alignment horizontal="center"/>
    </xf>
    <xf numFmtId="4" fontId="11" fillId="9" borderId="17" xfId="0" applyNumberFormat="1" applyFont="1" applyFill="1" applyBorder="1"/>
    <xf numFmtId="4" fontId="11" fillId="9" borderId="18" xfId="0" applyNumberFormat="1" applyFont="1" applyFill="1" applyBorder="1"/>
    <xf numFmtId="0" fontId="0" fillId="5" borderId="17" xfId="0" applyFont="1" applyFill="1" applyBorder="1" applyAlignment="1">
      <alignment horizontal="center"/>
    </xf>
    <xf numFmtId="4" fontId="11" fillId="9" borderId="16" xfId="0" applyNumberFormat="1" applyFont="1" applyFill="1" applyBorder="1"/>
    <xf numFmtId="166" fontId="0" fillId="5" borderId="18" xfId="0" applyNumberFormat="1" applyFont="1" applyFill="1" applyBorder="1" applyAlignment="1">
      <alignment horizontal="center"/>
    </xf>
    <xf numFmtId="166" fontId="0" fillId="5" borderId="16" xfId="0" applyNumberFormat="1" applyFont="1" applyFill="1" applyBorder="1" applyAlignment="1">
      <alignment horizontal="center"/>
    </xf>
    <xf numFmtId="166" fontId="0" fillId="5" borderId="17" xfId="0" applyNumberFormat="1" applyFont="1" applyFill="1" applyBorder="1" applyAlignment="1">
      <alignment horizontal="center"/>
    </xf>
    <xf numFmtId="4" fontId="11" fillId="9" borderId="19" xfId="0" applyNumberFormat="1" applyFont="1" applyFill="1" applyBorder="1"/>
    <xf numFmtId="166" fontId="0" fillId="5" borderId="30" xfId="0" applyNumberFormat="1" applyFont="1" applyFill="1" applyBorder="1" applyAlignment="1">
      <alignment horizontal="center"/>
    </xf>
    <xf numFmtId="4" fontId="11" fillId="9" borderId="21" xfId="0" applyNumberFormat="1" applyFont="1" applyFill="1" applyBorder="1"/>
    <xf numFmtId="166" fontId="0" fillId="5" borderId="31" xfId="0" applyNumberFormat="1" applyFont="1" applyFill="1" applyBorder="1" applyAlignment="1">
      <alignment horizontal="center"/>
    </xf>
    <xf numFmtId="166" fontId="0" fillId="5" borderId="32" xfId="0" applyNumberFormat="1" applyFont="1" applyFill="1" applyBorder="1" applyAlignment="1">
      <alignment horizontal="center"/>
    </xf>
    <xf numFmtId="0" fontId="0" fillId="5" borderId="18" xfId="0" applyFont="1" applyFill="1" applyBorder="1" applyAlignment="1">
      <alignment horizontal="center"/>
    </xf>
    <xf numFmtId="0" fontId="0" fillId="5" borderId="17" xfId="0" applyFont="1" applyFill="1" applyBorder="1" applyAlignment="1">
      <alignment horizontal="center"/>
    </xf>
    <xf numFmtId="0" fontId="9" fillId="0" borderId="24" xfId="0" applyFont="1" applyBorder="1"/>
    <xf numFmtId="166" fontId="0" fillId="5" borderId="22" xfId="0" applyNumberFormat="1" applyFont="1" applyFill="1" applyBorder="1" applyAlignment="1">
      <alignment horizontal="center"/>
    </xf>
    <xf numFmtId="0" fontId="9" fillId="0" borderId="23" xfId="0" applyFont="1" applyBorder="1"/>
    <xf numFmtId="166" fontId="14" fillId="0" borderId="23" xfId="0" applyNumberFormat="1" applyFont="1" applyBorder="1"/>
    <xf numFmtId="166" fontId="14" fillId="0" borderId="24" xfId="0" applyNumberFormat="1" applyFont="1" applyBorder="1"/>
    <xf numFmtId="4" fontId="11" fillId="0" borderId="17" xfId="0" applyNumberFormat="1" applyFont="1" applyBorder="1" applyAlignment="1"/>
    <xf numFmtId="0" fontId="8" fillId="0" borderId="0" xfId="0" applyFont="1" applyAlignment="1">
      <alignment horizontal="left"/>
    </xf>
    <xf numFmtId="0" fontId="18" fillId="0" borderId="0" xfId="0" applyFont="1" applyAlignment="1"/>
    <xf numFmtId="0" fontId="0" fillId="5" borderId="22" xfId="0" applyFont="1" applyFill="1" applyBorder="1" applyAlignment="1">
      <alignment horizontal="center"/>
    </xf>
    <xf numFmtId="0" fontId="0" fillId="5" borderId="21" xfId="0" applyFont="1" applyFill="1" applyBorder="1" applyAlignment="1">
      <alignment horizontal="center"/>
    </xf>
    <xf numFmtId="0" fontId="15" fillId="0" borderId="0" xfId="0" applyFont="1" applyAlignment="1">
      <alignment horizontal="left" vertical="center" wrapText="1"/>
    </xf>
    <xf numFmtId="166" fontId="0" fillId="5" borderId="18" xfId="0" applyNumberFormat="1" applyFont="1" applyFill="1" applyBorder="1" applyAlignment="1">
      <alignment horizontal="center" wrapText="1"/>
    </xf>
    <xf numFmtId="0" fontId="15" fillId="4" borderId="5" xfId="0" applyFont="1" applyFill="1" applyBorder="1" applyAlignment="1">
      <alignment horizontal="left" vertical="center" wrapText="1"/>
    </xf>
    <xf numFmtId="0" fontId="14" fillId="10" borderId="17" xfId="0" applyFont="1" applyFill="1" applyBorder="1" applyAlignment="1">
      <alignment horizontal="left"/>
    </xf>
    <xf numFmtId="0" fontId="0" fillId="11" borderId="18" xfId="0" applyFont="1" applyFill="1" applyBorder="1" applyAlignment="1">
      <alignment horizontal="center"/>
    </xf>
    <xf numFmtId="0" fontId="0" fillId="11" borderId="17" xfId="0" applyFont="1" applyFill="1" applyBorder="1" applyAlignment="1">
      <alignment horizontal="center"/>
    </xf>
    <xf numFmtId="14" fontId="0" fillId="11" borderId="17" xfId="0" applyNumberFormat="1" applyFont="1" applyFill="1" applyBorder="1" applyAlignment="1">
      <alignment horizontal="center"/>
    </xf>
    <xf numFmtId="0" fontId="0" fillId="6" borderId="17" xfId="0" applyFont="1" applyFill="1" applyBorder="1" applyAlignment="1">
      <alignment horizontal="center"/>
    </xf>
    <xf numFmtId="166" fontId="0" fillId="11" borderId="16" xfId="0" applyNumberFormat="1" applyFont="1" applyFill="1" applyBorder="1" applyAlignment="1"/>
    <xf numFmtId="4" fontId="11" fillId="0" borderId="32" xfId="0" applyNumberFormat="1" applyFont="1" applyBorder="1"/>
    <xf numFmtId="166" fontId="0" fillId="11" borderId="17" xfId="0" applyNumberFormat="1" applyFont="1" applyFill="1" applyBorder="1" applyAlignment="1"/>
    <xf numFmtId="4" fontId="11" fillId="0" borderId="30" xfId="0" applyNumberFormat="1" applyFont="1" applyBorder="1"/>
    <xf numFmtId="0" fontId="0" fillId="12" borderId="17" xfId="0" applyFont="1" applyFill="1" applyBorder="1" applyAlignment="1">
      <alignment horizontal="left"/>
    </xf>
    <xf numFmtId="4" fontId="11" fillId="0" borderId="31" xfId="0" applyNumberFormat="1" applyFont="1" applyBorder="1"/>
    <xf numFmtId="4" fontId="11" fillId="0" borderId="33" xfId="0" applyNumberFormat="1" applyFont="1" applyBorder="1"/>
    <xf numFmtId="0" fontId="14" fillId="0" borderId="0" xfId="0" applyFont="1"/>
    <xf numFmtId="0" fontId="16" fillId="0" borderId="0" xfId="0" applyFont="1"/>
    <xf numFmtId="4" fontId="9" fillId="0" borderId="24" xfId="0" applyNumberFormat="1" applyFont="1" applyBorder="1"/>
    <xf numFmtId="4" fontId="9" fillId="0" borderId="23" xfId="0" applyNumberFormat="1" applyFont="1" applyBorder="1"/>
    <xf numFmtId="4" fontId="9" fillId="0" borderId="34" xfId="0" applyNumberFormat="1" applyFont="1" applyBorder="1"/>
    <xf numFmtId="166" fontId="9" fillId="0" borderId="24" xfId="0" applyNumberFormat="1" applyFont="1" applyBorder="1"/>
    <xf numFmtId="166" fontId="9" fillId="0" borderId="23" xfId="0" applyNumberFormat="1" applyFont="1" applyBorder="1"/>
    <xf numFmtId="0" fontId="15" fillId="4" borderId="25" xfId="0" applyFont="1" applyFill="1" applyBorder="1" applyAlignment="1">
      <alignment horizontal="left" vertical="center" wrapText="1"/>
    </xf>
    <xf numFmtId="0" fontId="14" fillId="0" borderId="4" xfId="0" applyFont="1" applyBorder="1"/>
    <xf numFmtId="0" fontId="11" fillId="0" borderId="4" xfId="0" applyFont="1" applyBorder="1"/>
    <xf numFmtId="0" fontId="0" fillId="5" borderId="17" xfId="0" applyFont="1" applyFill="1" applyBorder="1" applyAlignment="1">
      <alignment horizontal="left"/>
    </xf>
    <xf numFmtId="166" fontId="11" fillId="0" borderId="17" xfId="0" applyNumberFormat="1" applyFont="1" applyBorder="1"/>
    <xf numFmtId="166" fontId="11" fillId="0" borderId="18" xfId="0" applyNumberFormat="1" applyFont="1" applyBorder="1"/>
    <xf numFmtId="166" fontId="11" fillId="0" borderId="16" xfId="0" applyNumberFormat="1" applyFont="1" applyBorder="1"/>
    <xf numFmtId="166" fontId="11" fillId="0" borderId="19" xfId="0" applyNumberFormat="1" applyFont="1" applyBorder="1"/>
    <xf numFmtId="166" fontId="11" fillId="0" borderId="21" xfId="0" applyNumberFormat="1" applyFont="1" applyBorder="1"/>
    <xf numFmtId="0" fontId="0" fillId="5" borderId="17" xfId="0" applyFont="1" applyFill="1" applyBorder="1" applyAlignment="1">
      <alignment horizontal="left"/>
    </xf>
    <xf numFmtId="3" fontId="11" fillId="0" borderId="17" xfId="0" applyNumberFormat="1" applyFont="1" applyBorder="1" applyAlignment="1"/>
    <xf numFmtId="3" fontId="11" fillId="0" borderId="19" xfId="0" applyNumberFormat="1" applyFont="1" applyBorder="1" applyAlignment="1"/>
    <xf numFmtId="166" fontId="11" fillId="9" borderId="17" xfId="0" applyNumberFormat="1" applyFont="1" applyFill="1" applyBorder="1"/>
    <xf numFmtId="166" fontId="11" fillId="9" borderId="18" xfId="0" applyNumberFormat="1" applyFont="1" applyFill="1" applyBorder="1"/>
    <xf numFmtId="166" fontId="11" fillId="9" borderId="16" xfId="0" applyNumberFormat="1" applyFont="1" applyFill="1" applyBorder="1"/>
    <xf numFmtId="166" fontId="11" fillId="9" borderId="19" xfId="0" applyNumberFormat="1" applyFont="1" applyFill="1" applyBorder="1"/>
    <xf numFmtId="166" fontId="11" fillId="9" borderId="21" xfId="0" applyNumberFormat="1" applyFont="1" applyFill="1" applyBorder="1"/>
    <xf numFmtId="0" fontId="11" fillId="0" borderId="0" xfId="0" applyFont="1" applyAlignment="1">
      <alignment wrapText="1"/>
    </xf>
    <xf numFmtId="166" fontId="11" fillId="0" borderId="35" xfId="0" applyNumberFormat="1" applyFont="1" applyBorder="1" applyAlignment="1"/>
    <xf numFmtId="166" fontId="0" fillId="5" borderId="18" xfId="0" applyNumberFormat="1" applyFont="1" applyFill="1" applyBorder="1" applyAlignment="1">
      <alignment horizontal="left"/>
    </xf>
    <xf numFmtId="166" fontId="11" fillId="0" borderId="35" xfId="0" applyNumberFormat="1" applyFont="1" applyBorder="1"/>
    <xf numFmtId="166" fontId="11" fillId="0" borderId="36" xfId="0" applyNumberFormat="1" applyFont="1" applyBorder="1"/>
    <xf numFmtId="166" fontId="11" fillId="0" borderId="37" xfId="0" applyNumberFormat="1" applyFont="1" applyBorder="1"/>
    <xf numFmtId="166" fontId="11" fillId="0" borderId="38" xfId="0" applyNumberFormat="1" applyFont="1" applyBorder="1"/>
    <xf numFmtId="166" fontId="11" fillId="0" borderId="39" xfId="0" applyNumberFormat="1" applyFont="1" applyBorder="1"/>
    <xf numFmtId="0" fontId="16" fillId="0" borderId="0" xfId="0" applyFont="1" applyAlignment="1"/>
    <xf numFmtId="167" fontId="9" fillId="0" borderId="0" xfId="0" applyNumberFormat="1" applyFont="1" applyAlignment="1">
      <alignment horizontal="right"/>
    </xf>
    <xf numFmtId="167" fontId="9" fillId="0" borderId="0" xfId="0" applyNumberFormat="1" applyFont="1"/>
    <xf numFmtId="167" fontId="9" fillId="0" borderId="40" xfId="0" applyNumberFormat="1" applyFont="1" applyBorder="1" applyAlignment="1">
      <alignment horizontal="right"/>
    </xf>
    <xf numFmtId="167" fontId="9" fillId="0" borderId="41" xfId="0" applyNumberFormat="1" applyFont="1" applyBorder="1" applyAlignment="1">
      <alignment horizontal="right"/>
    </xf>
    <xf numFmtId="0" fontId="8" fillId="0" borderId="0" xfId="0" applyFont="1" applyAlignment="1"/>
    <xf numFmtId="0" fontId="19" fillId="0" borderId="3" xfId="0" applyFont="1" applyBorder="1"/>
    <xf numFmtId="0" fontId="20" fillId="0" borderId="3" xfId="0" applyFont="1" applyBorder="1" applyAlignment="1"/>
    <xf numFmtId="167" fontId="20" fillId="0" borderId="3" xfId="0" applyNumberFormat="1" applyFont="1" applyBorder="1"/>
    <xf numFmtId="167" fontId="20" fillId="0" borderId="1" xfId="0" applyNumberFormat="1" applyFont="1" applyBorder="1"/>
    <xf numFmtId="167" fontId="20" fillId="0" borderId="2" xfId="0" applyNumberFormat="1" applyFont="1" applyBorder="1"/>
    <xf numFmtId="0" fontId="21" fillId="0" borderId="0" xfId="0" applyFont="1" applyAlignment="1"/>
    <xf numFmtId="0" fontId="21" fillId="0" borderId="0" xfId="0" applyFont="1"/>
    <xf numFmtId="0" fontId="0" fillId="5" borderId="18" xfId="0" applyFont="1" applyFill="1" applyBorder="1" applyAlignment="1">
      <alignment horizontal="left" wrapText="1"/>
    </xf>
    <xf numFmtId="0" fontId="0" fillId="5" borderId="22" xfId="0" applyFont="1" applyFill="1" applyBorder="1" applyAlignment="1">
      <alignment horizontal="left" wrapText="1"/>
    </xf>
    <xf numFmtId="0" fontId="0" fillId="5" borderId="21" xfId="0" applyFont="1" applyFill="1" applyBorder="1" applyAlignment="1">
      <alignment horizontal="left" wrapText="1"/>
    </xf>
    <xf numFmtId="0" fontId="0" fillId="5" borderId="14" xfId="0" applyFont="1" applyFill="1" applyBorder="1" applyAlignment="1">
      <alignment horizontal="left"/>
    </xf>
    <xf numFmtId="0" fontId="0" fillId="5" borderId="17" xfId="0" applyFont="1" applyFill="1" applyBorder="1" applyAlignment="1">
      <alignment horizontal="left" wrapText="1"/>
    </xf>
    <xf numFmtId="0" fontId="11" fillId="5" borderId="17" xfId="0" applyFont="1" applyFill="1" applyBorder="1" applyAlignment="1">
      <alignment horizontal="left"/>
    </xf>
    <xf numFmtId="0" fontId="0" fillId="5" borderId="17" xfId="0" applyFont="1" applyFill="1" applyBorder="1" applyAlignment="1">
      <alignment horizontal="center" wrapText="1"/>
    </xf>
    <xf numFmtId="0" fontId="11" fillId="5" borderId="17" xfId="0" applyFont="1" applyFill="1" applyBorder="1" applyAlignment="1">
      <alignment horizontal="center" wrapText="1"/>
    </xf>
    <xf numFmtId="0" fontId="0" fillId="5" borderId="17" xfId="0" applyFont="1" applyFill="1" applyBorder="1" applyAlignment="1">
      <alignment horizontal="center" wrapText="1"/>
    </xf>
    <xf numFmtId="0" fontId="22" fillId="14" borderId="2" xfId="0" applyFont="1" applyFill="1" applyBorder="1" applyAlignment="1">
      <alignment horizontal="center"/>
    </xf>
    <xf numFmtId="0" fontId="9" fillId="0" borderId="42" xfId="0" applyFont="1" applyBorder="1" applyAlignment="1"/>
    <xf numFmtId="0" fontId="8" fillId="0" borderId="42" xfId="0" applyFont="1" applyBorder="1" applyAlignment="1">
      <alignment horizontal="center"/>
    </xf>
    <xf numFmtId="0" fontId="8" fillId="0" borderId="42" xfId="0" applyFont="1" applyBorder="1" applyAlignment="1">
      <alignment horizontal="right"/>
    </xf>
    <xf numFmtId="0" fontId="8" fillId="0" borderId="42" xfId="0" applyFont="1" applyBorder="1" applyAlignment="1"/>
    <xf numFmtId="0" fontId="8" fillId="0" borderId="42" xfId="0" applyFont="1" applyBorder="1"/>
    <xf numFmtId="0" fontId="26" fillId="0" borderId="28" xfId="1" applyFont="1" applyAlignment="1">
      <alignment horizontal="left" vertical="top"/>
    </xf>
    <xf numFmtId="0" fontId="27" fillId="0" borderId="28" xfId="1" applyFont="1" applyAlignment="1">
      <alignment vertical="top"/>
    </xf>
    <xf numFmtId="0" fontId="6" fillId="0" borderId="28" xfId="1" applyFont="1" applyAlignment="1">
      <alignment horizontal="center" vertical="top"/>
    </xf>
    <xf numFmtId="0" fontId="6" fillId="0" borderId="28" xfId="1" applyFont="1" applyAlignment="1">
      <alignment vertical="top"/>
    </xf>
    <xf numFmtId="0" fontId="24" fillId="0" borderId="28" xfId="1" applyFont="1" applyAlignment="1">
      <alignment horizontal="left" vertical="top"/>
    </xf>
    <xf numFmtId="0" fontId="6" fillId="0" borderId="28" xfId="1" applyFont="1" applyFill="1" applyAlignment="1">
      <alignment horizontal="center" vertical="top"/>
    </xf>
    <xf numFmtId="0" fontId="28" fillId="0" borderId="28" xfId="1" applyFont="1" applyAlignment="1">
      <alignment vertical="top"/>
    </xf>
    <xf numFmtId="0" fontId="24" fillId="0" borderId="28" xfId="1" applyFont="1" applyAlignment="1">
      <alignment vertical="top"/>
    </xf>
    <xf numFmtId="0" fontId="6" fillId="0" borderId="43" xfId="1" applyFont="1" applyBorder="1" applyAlignment="1">
      <alignment vertical="top"/>
    </xf>
    <xf numFmtId="0" fontId="29" fillId="0" borderId="44" xfId="1" applyFont="1" applyBorder="1" applyAlignment="1">
      <alignment horizontal="center" vertical="top"/>
    </xf>
    <xf numFmtId="0" fontId="29" fillId="0" borderId="44" xfId="1" applyFont="1" applyBorder="1" applyAlignment="1">
      <alignment vertical="top"/>
    </xf>
    <xf numFmtId="0" fontId="30" fillId="18" borderId="48" xfId="1" applyFont="1" applyFill="1" applyBorder="1" applyAlignment="1">
      <alignment horizontal="center" vertical="top"/>
    </xf>
    <xf numFmtId="0" fontId="30" fillId="0" borderId="28" xfId="1" applyFont="1" applyFill="1" applyBorder="1" applyAlignment="1">
      <alignment horizontal="center" vertical="top"/>
    </xf>
    <xf numFmtId="0" fontId="24" fillId="0" borderId="28" xfId="1" applyFont="1" applyFill="1" applyBorder="1" applyAlignment="1">
      <alignment vertical="top"/>
    </xf>
    <xf numFmtId="0" fontId="31" fillId="0" borderId="49" xfId="1" applyFont="1" applyBorder="1" applyAlignment="1">
      <alignment vertical="top"/>
    </xf>
    <xf numFmtId="166" fontId="25" fillId="0" borderId="28" xfId="2" applyNumberFormat="1" applyFont="1" applyBorder="1" applyAlignment="1">
      <alignment horizontal="center" vertical="top"/>
    </xf>
    <xf numFmtId="0" fontId="6" fillId="0" borderId="28" xfId="1" applyFont="1" applyBorder="1" applyAlignment="1">
      <alignment vertical="top"/>
    </xf>
    <xf numFmtId="0" fontId="25" fillId="19" borderId="50" xfId="1" applyFont="1" applyFill="1" applyBorder="1" applyAlignment="1">
      <alignment horizontal="center" vertical="top"/>
    </xf>
    <xf numFmtId="0" fontId="25" fillId="19" borderId="51" xfId="1" applyFont="1" applyFill="1" applyBorder="1" applyAlignment="1">
      <alignment horizontal="center" vertical="top"/>
    </xf>
    <xf numFmtId="0" fontId="25" fillId="19" borderId="52" xfId="1" applyFont="1" applyFill="1" applyBorder="1" applyAlignment="1">
      <alignment horizontal="center" vertical="top"/>
    </xf>
    <xf numFmtId="0" fontId="25" fillId="19" borderId="28" xfId="1" applyFont="1" applyFill="1" applyBorder="1" applyAlignment="1">
      <alignment horizontal="center" vertical="top"/>
    </xf>
    <xf numFmtId="0" fontId="25" fillId="19" borderId="53" xfId="1" applyFont="1" applyFill="1" applyBorder="1" applyAlignment="1">
      <alignment horizontal="center" vertical="top"/>
    </xf>
    <xf numFmtId="0" fontId="25" fillId="19" borderId="54" xfId="1" applyFont="1" applyFill="1" applyBorder="1" applyAlignment="1">
      <alignment horizontal="center" vertical="top"/>
    </xf>
    <xf numFmtId="0" fontId="25" fillId="19" borderId="55" xfId="1" applyFont="1" applyFill="1" applyBorder="1" applyAlignment="1">
      <alignment horizontal="center" vertical="top"/>
    </xf>
    <xf numFmtId="0" fontId="25" fillId="0" borderId="28" xfId="1" applyFont="1" applyFill="1" applyBorder="1" applyAlignment="1">
      <alignment horizontal="center" vertical="top"/>
    </xf>
    <xf numFmtId="0" fontId="32" fillId="0" borderId="28" xfId="1" applyFont="1" applyFill="1" applyBorder="1" applyAlignment="1">
      <alignment vertical="top"/>
    </xf>
    <xf numFmtId="0" fontId="32" fillId="0" borderId="49" xfId="1" applyFont="1" applyFill="1" applyBorder="1" applyAlignment="1">
      <alignment vertical="top"/>
    </xf>
    <xf numFmtId="0" fontId="33" fillId="0" borderId="28" xfId="1" applyFont="1" applyFill="1" applyBorder="1" applyAlignment="1">
      <alignment horizontal="center" vertical="top"/>
    </xf>
    <xf numFmtId="168" fontId="34" fillId="0" borderId="28" xfId="3" applyNumberFormat="1" applyFont="1" applyFill="1" applyBorder="1" applyAlignment="1">
      <alignment horizontal="center" vertical="top"/>
    </xf>
    <xf numFmtId="168" fontId="34" fillId="0" borderId="56" xfId="3" applyNumberFormat="1" applyFont="1" applyFill="1" applyBorder="1" applyAlignment="1">
      <alignment horizontal="center" vertical="top"/>
    </xf>
    <xf numFmtId="168" fontId="34" fillId="0" borderId="49" xfId="3" applyNumberFormat="1" applyFont="1" applyFill="1" applyBorder="1" applyAlignment="1">
      <alignment horizontal="center" vertical="top"/>
    </xf>
    <xf numFmtId="168" fontId="34" fillId="0" borderId="53" xfId="3" applyNumberFormat="1" applyFont="1" applyFill="1" applyBorder="1" applyAlignment="1">
      <alignment horizontal="center" vertical="top"/>
    </xf>
    <xf numFmtId="0" fontId="6" fillId="0" borderId="28" xfId="1" applyFont="1" applyFill="1" applyBorder="1" applyAlignment="1">
      <alignment vertical="top"/>
    </xf>
    <xf numFmtId="0" fontId="25" fillId="19" borderId="58" xfId="1" applyFont="1" applyFill="1" applyBorder="1" applyAlignment="1">
      <alignment vertical="top"/>
    </xf>
    <xf numFmtId="0" fontId="35" fillId="19" borderId="59" xfId="1" applyFont="1" applyFill="1" applyBorder="1" applyAlignment="1">
      <alignment horizontal="center" vertical="top"/>
    </xf>
    <xf numFmtId="168" fontId="34" fillId="19" borderId="59" xfId="3" applyNumberFormat="1" applyFont="1" applyFill="1" applyBorder="1" applyAlignment="1">
      <alignment horizontal="center" vertical="top"/>
    </xf>
    <xf numFmtId="168" fontId="34" fillId="19" borderId="60" xfId="3" applyNumberFormat="1" applyFont="1" applyFill="1" applyBorder="1" applyAlignment="1">
      <alignment horizontal="center" vertical="top"/>
    </xf>
    <xf numFmtId="0" fontId="36" fillId="0" borderId="49" xfId="1" applyFont="1" applyBorder="1" applyAlignment="1">
      <alignment vertical="top"/>
    </xf>
    <xf numFmtId="0" fontId="35" fillId="0" borderId="28" xfId="1" applyFont="1" applyFill="1" applyBorder="1" applyAlignment="1">
      <alignment horizontal="center" vertical="top"/>
    </xf>
    <xf numFmtId="0" fontId="25" fillId="0" borderId="28" xfId="1" applyFont="1" applyBorder="1" applyAlignment="1">
      <alignment vertical="top"/>
    </xf>
    <xf numFmtId="0" fontId="6" fillId="0" borderId="49" xfId="1" applyFont="1" applyBorder="1" applyAlignment="1">
      <alignment horizontal="left" vertical="top"/>
    </xf>
    <xf numFmtId="166" fontId="6" fillId="0" borderId="28" xfId="2" applyNumberFormat="1" applyFont="1" applyBorder="1" applyAlignment="1">
      <alignment horizontal="center" vertical="top"/>
    </xf>
    <xf numFmtId="166" fontId="25" fillId="0" borderId="56" xfId="2" applyNumberFormat="1" applyFont="1" applyFill="1" applyBorder="1" applyAlignment="1">
      <alignment horizontal="center" vertical="top"/>
    </xf>
    <xf numFmtId="166" fontId="32" fillId="20" borderId="62" xfId="2" applyNumberFormat="1" applyFont="1" applyFill="1" applyBorder="1" applyAlignment="1">
      <alignment horizontal="center" vertical="top"/>
    </xf>
    <xf numFmtId="166" fontId="37" fillId="20" borderId="63" xfId="2" applyNumberFormat="1" applyFont="1" applyFill="1" applyBorder="1" applyAlignment="1">
      <alignment horizontal="center" vertical="top"/>
    </xf>
    <xf numFmtId="166" fontId="25" fillId="20" borderId="56" xfId="2" applyNumberFormat="1" applyFont="1" applyFill="1" applyBorder="1" applyAlignment="1">
      <alignment horizontal="center" vertical="top"/>
    </xf>
    <xf numFmtId="166" fontId="25" fillId="20" borderId="28" xfId="2" applyNumberFormat="1" applyFont="1" applyFill="1" applyBorder="1" applyAlignment="1">
      <alignment horizontal="center" vertical="top"/>
    </xf>
    <xf numFmtId="166" fontId="25" fillId="20" borderId="63" xfId="2" applyNumberFormat="1" applyFont="1" applyFill="1" applyBorder="1" applyAlignment="1">
      <alignment horizontal="center" vertical="top"/>
    </xf>
    <xf numFmtId="166" fontId="37" fillId="0" borderId="28" xfId="2" applyNumberFormat="1" applyFont="1" applyFill="1" applyBorder="1" applyAlignment="1">
      <alignment horizontal="center" vertical="top"/>
    </xf>
    <xf numFmtId="0" fontId="32" fillId="0" borderId="28" xfId="1" applyFont="1" applyBorder="1" applyAlignment="1">
      <alignment vertical="top"/>
    </xf>
    <xf numFmtId="166" fontId="6" fillId="20" borderId="56" xfId="2" applyNumberFormat="1" applyFont="1" applyFill="1" applyBorder="1" applyAlignment="1">
      <alignment horizontal="center" vertical="top"/>
    </xf>
    <xf numFmtId="166" fontId="6" fillId="20" borderId="28" xfId="2" applyNumberFormat="1" applyFont="1" applyFill="1" applyBorder="1" applyAlignment="1">
      <alignment horizontal="center" vertical="top"/>
    </xf>
    <xf numFmtId="0" fontId="24" fillId="0" borderId="28" xfId="1" applyFont="1" applyBorder="1" applyAlignment="1">
      <alignment horizontal="left" vertical="top" wrapText="1"/>
    </xf>
    <xf numFmtId="0" fontId="24" fillId="0" borderId="28" xfId="1" applyFont="1" applyBorder="1" applyAlignment="1">
      <alignment vertical="top"/>
    </xf>
    <xf numFmtId="166" fontId="25" fillId="0" borderId="56" xfId="2" applyNumberFormat="1" applyFont="1" applyBorder="1" applyAlignment="1">
      <alignment horizontal="center" vertical="top"/>
    </xf>
    <xf numFmtId="0" fontId="28" fillId="0" borderId="28" xfId="1" applyFont="1" applyBorder="1" applyAlignment="1">
      <alignment vertical="top"/>
    </xf>
    <xf numFmtId="0" fontId="35" fillId="0" borderId="49" xfId="1" applyFont="1" applyBorder="1" applyAlignment="1">
      <alignment horizontal="left" vertical="top"/>
    </xf>
    <xf numFmtId="166" fontId="32" fillId="0" borderId="62" xfId="2" applyNumberFormat="1" applyFont="1" applyBorder="1" applyAlignment="1">
      <alignment horizontal="center" vertical="top"/>
    </xf>
    <xf numFmtId="166" fontId="25" fillId="0" borderId="63" xfId="2" applyNumberFormat="1" applyFont="1" applyBorder="1" applyAlignment="1">
      <alignment horizontal="center" vertical="top"/>
    </xf>
    <xf numFmtId="166" fontId="6" fillId="0" borderId="56" xfId="2" applyNumberFormat="1" applyFont="1" applyFill="1" applyBorder="1" applyAlignment="1">
      <alignment horizontal="center" vertical="top"/>
    </xf>
    <xf numFmtId="166" fontId="6" fillId="0" borderId="28" xfId="2" applyNumberFormat="1" applyFont="1" applyFill="1" applyBorder="1" applyAlignment="1">
      <alignment horizontal="center" vertical="top"/>
    </xf>
    <xf numFmtId="166" fontId="25" fillId="0" borderId="28" xfId="2" applyNumberFormat="1" applyFont="1" applyFill="1" applyBorder="1" applyAlignment="1">
      <alignment horizontal="center" vertical="top"/>
    </xf>
    <xf numFmtId="0" fontId="38" fillId="0" borderId="28" xfId="1" applyFont="1" applyBorder="1" applyAlignment="1">
      <alignment horizontal="center" vertical="top"/>
    </xf>
    <xf numFmtId="0" fontId="35" fillId="0" borderId="28" xfId="1" applyFont="1" applyBorder="1" applyAlignment="1">
      <alignment horizontal="center" vertical="top"/>
    </xf>
    <xf numFmtId="166" fontId="32" fillId="0" borderId="62" xfId="2" applyNumberFormat="1" applyFont="1" applyFill="1" applyBorder="1" applyAlignment="1">
      <alignment horizontal="center" vertical="top"/>
    </xf>
    <xf numFmtId="0" fontId="38" fillId="0" borderId="49" xfId="1" applyFont="1" applyBorder="1" applyAlignment="1">
      <alignment horizontal="left" vertical="top" indent="1"/>
    </xf>
    <xf numFmtId="166" fontId="39" fillId="0" borderId="62" xfId="2" applyNumberFormat="1" applyFont="1" applyFill="1" applyBorder="1" applyAlignment="1">
      <alignment horizontal="center" vertical="top"/>
    </xf>
    <xf numFmtId="166" fontId="37" fillId="0" borderId="63" xfId="2" applyNumberFormat="1" applyFont="1" applyBorder="1" applyAlignment="1">
      <alignment horizontal="center" vertical="top"/>
    </xf>
    <xf numFmtId="9" fontId="40" fillId="0" borderId="56" xfId="4" applyFont="1" applyFill="1" applyBorder="1" applyAlignment="1">
      <alignment horizontal="center" vertical="top"/>
    </xf>
    <xf numFmtId="166" fontId="41" fillId="0" borderId="28" xfId="2" applyNumberFormat="1" applyFont="1" applyFill="1" applyBorder="1" applyAlignment="1">
      <alignment horizontal="center" vertical="top"/>
    </xf>
    <xf numFmtId="9" fontId="40" fillId="0" borderId="28" xfId="4" applyFont="1" applyFill="1" applyBorder="1" applyAlignment="1">
      <alignment horizontal="center" vertical="top"/>
    </xf>
    <xf numFmtId="0" fontId="6" fillId="0" borderId="49" xfId="1" applyFont="1" applyBorder="1" applyAlignment="1">
      <alignment horizontal="left" vertical="top" indent="1"/>
    </xf>
    <xf numFmtId="166" fontId="25" fillId="0" borderId="28" xfId="2" applyNumberFormat="1" applyFont="1" applyBorder="1" applyAlignment="1">
      <alignment vertical="top"/>
    </xf>
    <xf numFmtId="166" fontId="41" fillId="0" borderId="62" xfId="2" applyNumberFormat="1" applyFont="1" applyBorder="1" applyAlignment="1">
      <alignment horizontal="center" vertical="top"/>
    </xf>
    <xf numFmtId="166" fontId="41" fillId="0" borderId="56" xfId="2" applyNumberFormat="1" applyFont="1" applyFill="1" applyBorder="1" applyAlignment="1">
      <alignment horizontal="center" vertical="top"/>
    </xf>
    <xf numFmtId="166" fontId="41" fillId="0" borderId="28" xfId="2" applyNumberFormat="1" applyFont="1" applyBorder="1" applyAlignment="1">
      <alignment horizontal="center" vertical="top"/>
    </xf>
    <xf numFmtId="166" fontId="41" fillId="0" borderId="28" xfId="2" quotePrefix="1" applyNumberFormat="1" applyFont="1" applyFill="1" applyBorder="1" applyAlignment="1">
      <alignment horizontal="center" vertical="top"/>
    </xf>
    <xf numFmtId="9" fontId="40" fillId="0" borderId="62" xfId="4" applyFont="1" applyFill="1" applyBorder="1" applyAlignment="1">
      <alignment horizontal="center" vertical="top"/>
    </xf>
    <xf numFmtId="9" fontId="40" fillId="0" borderId="63" xfId="4" applyFont="1" applyFill="1" applyBorder="1" applyAlignment="1">
      <alignment horizontal="center" vertical="top"/>
    </xf>
    <xf numFmtId="166" fontId="41" fillId="0" borderId="56" xfId="2" applyNumberFormat="1" applyFont="1" applyBorder="1" applyAlignment="1">
      <alignment horizontal="center" vertical="top"/>
    </xf>
    <xf numFmtId="166" fontId="41" fillId="20" borderId="62" xfId="2" applyNumberFormat="1" applyFont="1" applyFill="1" applyBorder="1" applyAlignment="1">
      <alignment horizontal="center" vertical="top"/>
    </xf>
    <xf numFmtId="166" fontId="41" fillId="20" borderId="56" xfId="2" applyNumberFormat="1" applyFont="1" applyFill="1" applyBorder="1" applyAlignment="1">
      <alignment horizontal="center" vertical="top"/>
    </xf>
    <xf numFmtId="166" fontId="41" fillId="20" borderId="28" xfId="2" applyNumberFormat="1" applyFont="1" applyFill="1" applyBorder="1" applyAlignment="1">
      <alignment horizontal="center" vertical="top"/>
    </xf>
    <xf numFmtId="0" fontId="24" fillId="0" borderId="28" xfId="1" applyFont="1" applyBorder="1" applyAlignment="1">
      <alignment horizontal="left" vertical="top"/>
    </xf>
    <xf numFmtId="166" fontId="6" fillId="0" borderId="62" xfId="2" applyNumberFormat="1" applyFont="1" applyBorder="1" applyAlignment="1">
      <alignment horizontal="center" vertical="top"/>
    </xf>
    <xf numFmtId="166" fontId="29" fillId="0" borderId="62" xfId="2" applyNumberFormat="1" applyFont="1" applyFill="1" applyBorder="1" applyAlignment="1">
      <alignment horizontal="center" vertical="top"/>
    </xf>
    <xf numFmtId="166" fontId="29" fillId="0" borderId="63" xfId="2" applyNumberFormat="1" applyFont="1" applyFill="1" applyBorder="1" applyAlignment="1">
      <alignment horizontal="center" vertical="top"/>
    </xf>
    <xf numFmtId="166" fontId="29" fillId="0" borderId="56" xfId="2" applyNumberFormat="1" applyFont="1" applyFill="1" applyBorder="1" applyAlignment="1">
      <alignment horizontal="center" vertical="top"/>
    </xf>
    <xf numFmtId="166" fontId="29" fillId="0" borderId="28" xfId="2" applyNumberFormat="1" applyFont="1" applyFill="1" applyBorder="1" applyAlignment="1">
      <alignment horizontal="center" vertical="top"/>
    </xf>
    <xf numFmtId="166" fontId="6" fillId="0" borderId="62" xfId="2" applyNumberFormat="1" applyFont="1" applyFill="1" applyBorder="1" applyAlignment="1">
      <alignment horizontal="center" vertical="top"/>
    </xf>
    <xf numFmtId="166" fontId="6" fillId="21" borderId="56" xfId="2" applyNumberFormat="1" applyFont="1" applyFill="1" applyBorder="1" applyAlignment="1">
      <alignment horizontal="center" vertical="top"/>
    </xf>
    <xf numFmtId="166" fontId="6" fillId="21" borderId="28" xfId="2" applyNumberFormat="1" applyFont="1" applyFill="1" applyBorder="1" applyAlignment="1">
      <alignment horizontal="center" vertical="top"/>
    </xf>
    <xf numFmtId="166" fontId="6" fillId="20" borderId="62" xfId="2" applyNumberFormat="1" applyFont="1" applyFill="1" applyBorder="1" applyAlignment="1">
      <alignment horizontal="center" vertical="top"/>
    </xf>
    <xf numFmtId="166" fontId="25" fillId="0" borderId="63" xfId="2" applyNumberFormat="1" applyFont="1" applyFill="1" applyBorder="1" applyAlignment="1">
      <alignment horizontal="center" vertical="top"/>
    </xf>
    <xf numFmtId="0" fontId="35" fillId="0" borderId="28" xfId="1" applyFont="1" applyBorder="1" applyAlignment="1">
      <alignment vertical="top"/>
    </xf>
    <xf numFmtId="166" fontId="38" fillId="0" borderId="28" xfId="2" applyNumberFormat="1" applyFont="1" applyBorder="1" applyAlignment="1">
      <alignment horizontal="center" vertical="top"/>
    </xf>
    <xf numFmtId="166" fontId="35" fillId="0" borderId="28" xfId="2" applyNumberFormat="1" applyFont="1" applyBorder="1" applyAlignment="1">
      <alignment horizontal="center" vertical="top"/>
    </xf>
    <xf numFmtId="166" fontId="35" fillId="0" borderId="62" xfId="2" applyNumberFormat="1" applyFont="1" applyBorder="1" applyAlignment="1">
      <alignment horizontal="center" vertical="top"/>
    </xf>
    <xf numFmtId="166" fontId="35" fillId="0" borderId="56" xfId="2" applyNumberFormat="1" applyFont="1" applyFill="1" applyBorder="1" applyAlignment="1">
      <alignment horizontal="center" vertical="top"/>
    </xf>
    <xf numFmtId="166" fontId="35" fillId="0" borderId="63" xfId="2" applyNumberFormat="1" applyFont="1" applyBorder="1" applyAlignment="1">
      <alignment horizontal="center" vertical="top"/>
    </xf>
    <xf numFmtId="166" fontId="35" fillId="0" borderId="28" xfId="2" applyNumberFormat="1" applyFont="1" applyFill="1" applyBorder="1" applyAlignment="1">
      <alignment horizontal="center" vertical="top"/>
    </xf>
    <xf numFmtId="0" fontId="42" fillId="0" borderId="28" xfId="1" applyFont="1" applyBorder="1" applyAlignment="1">
      <alignment vertical="top"/>
    </xf>
    <xf numFmtId="0" fontId="25" fillId="19" borderId="64" xfId="1" applyFont="1" applyFill="1" applyBorder="1" applyAlignment="1">
      <alignment vertical="top"/>
    </xf>
    <xf numFmtId="0" fontId="35" fillId="19" borderId="61" xfId="1" applyFont="1" applyFill="1" applyBorder="1" applyAlignment="1">
      <alignment horizontal="center" vertical="top"/>
    </xf>
    <xf numFmtId="166" fontId="25" fillId="19" borderId="61" xfId="2" applyNumberFormat="1" applyFont="1" applyFill="1" applyBorder="1" applyAlignment="1">
      <alignment horizontal="center" vertical="top"/>
    </xf>
    <xf numFmtId="166" fontId="25" fillId="19" borderId="65" xfId="2" applyNumberFormat="1" applyFont="1" applyFill="1" applyBorder="1" applyAlignment="1">
      <alignment horizontal="center" vertical="top"/>
    </xf>
    <xf numFmtId="0" fontId="38" fillId="0" borderId="49" xfId="1" applyFont="1" applyFill="1" applyBorder="1" applyAlignment="1">
      <alignment vertical="top"/>
    </xf>
    <xf numFmtId="166" fontId="38" fillId="0" borderId="28" xfId="2" applyNumberFormat="1" applyFont="1" applyFill="1" applyBorder="1" applyAlignment="1">
      <alignment horizontal="center" vertical="top"/>
    </xf>
    <xf numFmtId="166" fontId="34" fillId="0" borderId="53" xfId="2" applyNumberFormat="1" applyFont="1" applyBorder="1" applyAlignment="1">
      <alignment horizontal="center" vertical="top"/>
    </xf>
    <xf numFmtId="166" fontId="34" fillId="0" borderId="28" xfId="2" applyNumberFormat="1" applyFont="1" applyFill="1" applyBorder="1" applyAlignment="1">
      <alignment horizontal="center" vertical="top"/>
    </xf>
    <xf numFmtId="166" fontId="28" fillId="0" borderId="28" xfId="2" applyNumberFormat="1" applyFont="1" applyBorder="1" applyAlignment="1">
      <alignment horizontal="center" vertical="top"/>
    </xf>
    <xf numFmtId="166" fontId="28" fillId="0" borderId="28" xfId="2" applyNumberFormat="1" applyFont="1" applyBorder="1" applyAlignment="1">
      <alignment vertical="top"/>
    </xf>
    <xf numFmtId="166" fontId="43" fillId="0" borderId="28" xfId="2" applyNumberFormat="1" applyFont="1" applyFill="1" applyBorder="1" applyAlignment="1">
      <alignment horizontal="center" vertical="top"/>
    </xf>
    <xf numFmtId="166" fontId="39" fillId="0" borderId="28" xfId="2" applyNumberFormat="1" applyFont="1" applyFill="1" applyBorder="1" applyAlignment="1">
      <alignment horizontal="center" vertical="top"/>
    </xf>
    <xf numFmtId="166" fontId="44" fillId="0" borderId="28" xfId="5" applyNumberFormat="1" applyFont="1" applyFill="1" applyBorder="1" applyAlignment="1">
      <alignment horizontal="center" vertical="top"/>
    </xf>
    <xf numFmtId="166" fontId="44" fillId="0" borderId="28" xfId="2" applyNumberFormat="1" applyFont="1" applyFill="1" applyBorder="1" applyAlignment="1">
      <alignment horizontal="center" vertical="top"/>
    </xf>
    <xf numFmtId="166" fontId="39" fillId="20" borderId="28" xfId="2" applyNumberFormat="1" applyFont="1" applyFill="1" applyBorder="1" applyAlignment="1">
      <alignment horizontal="center" vertical="top"/>
    </xf>
    <xf numFmtId="0" fontId="32" fillId="0" borderId="49" xfId="1" applyFont="1" applyBorder="1" applyAlignment="1">
      <alignment horizontal="left" vertical="top"/>
    </xf>
    <xf numFmtId="166" fontId="24" fillId="0" borderId="28" xfId="2" applyNumberFormat="1" applyFont="1" applyFill="1" applyBorder="1" applyAlignment="1">
      <alignment horizontal="center" vertical="top"/>
    </xf>
    <xf numFmtId="166" fontId="28" fillId="0" borderId="28" xfId="2" applyNumberFormat="1" applyFont="1" applyFill="1" applyBorder="1" applyAlignment="1">
      <alignment horizontal="center" vertical="top"/>
    </xf>
    <xf numFmtId="166" fontId="32" fillId="0" borderId="28" xfId="2" applyNumberFormat="1" applyFont="1" applyFill="1" applyBorder="1" applyAlignment="1">
      <alignment horizontal="center" vertical="top"/>
    </xf>
    <xf numFmtId="166" fontId="32" fillId="0" borderId="28" xfId="2" applyNumberFormat="1" applyFont="1" applyBorder="1" applyAlignment="1">
      <alignment vertical="top"/>
    </xf>
    <xf numFmtId="166" fontId="34" fillId="0" borderId="28" xfId="2" applyNumberFormat="1" applyFont="1" applyBorder="1" applyAlignment="1">
      <alignment horizontal="center" vertical="top"/>
    </xf>
    <xf numFmtId="0" fontId="6" fillId="0" borderId="49" xfId="1" applyFont="1" applyBorder="1" applyAlignment="1">
      <alignment vertical="top"/>
    </xf>
    <xf numFmtId="0" fontId="6" fillId="0" borderId="28" xfId="1" applyFont="1" applyBorder="1" applyAlignment="1">
      <alignment horizontal="center" vertical="top"/>
    </xf>
    <xf numFmtId="166" fontId="0" fillId="0" borderId="28" xfId="2" applyNumberFormat="1" applyFont="1" applyBorder="1" applyAlignment="1">
      <alignment horizontal="center" vertical="top"/>
    </xf>
    <xf numFmtId="166" fontId="0" fillId="0" borderId="56" xfId="2" applyNumberFormat="1" applyFont="1" applyBorder="1" applyAlignment="1">
      <alignment horizontal="center" vertical="top"/>
    </xf>
    <xf numFmtId="166" fontId="0" fillId="0" borderId="62" xfId="2" applyNumberFormat="1" applyFont="1" applyBorder="1" applyAlignment="1">
      <alignment horizontal="center" vertical="top"/>
    </xf>
    <xf numFmtId="166" fontId="0" fillId="0" borderId="53" xfId="2" applyNumberFormat="1" applyFont="1" applyBorder="1" applyAlignment="1">
      <alignment horizontal="center" vertical="top"/>
    </xf>
    <xf numFmtId="166" fontId="0" fillId="0" borderId="28" xfId="2" applyNumberFormat="1" applyFont="1" applyFill="1" applyAlignment="1">
      <alignment horizontal="center" vertical="top"/>
    </xf>
    <xf numFmtId="0" fontId="32" fillId="0" borderId="28" xfId="1" applyFont="1" applyBorder="1" applyAlignment="1">
      <alignment horizontal="left" vertical="top"/>
    </xf>
    <xf numFmtId="166" fontId="24" fillId="0" borderId="28" xfId="2" applyNumberFormat="1" applyFont="1" applyBorder="1" applyAlignment="1">
      <alignment horizontal="left" vertical="top"/>
    </xf>
    <xf numFmtId="166" fontId="32" fillId="0" borderId="53" xfId="2" applyNumberFormat="1" applyFont="1" applyFill="1" applyBorder="1" applyAlignment="1">
      <alignment horizontal="center" vertical="top"/>
    </xf>
    <xf numFmtId="166" fontId="32" fillId="0" borderId="28" xfId="2" applyNumberFormat="1" applyFont="1" applyFill="1" applyAlignment="1">
      <alignment horizontal="center" vertical="top"/>
    </xf>
    <xf numFmtId="166" fontId="35" fillId="0" borderId="53" xfId="2" applyNumberFormat="1" applyFont="1" applyBorder="1" applyAlignment="1">
      <alignment horizontal="center" vertical="top"/>
    </xf>
    <xf numFmtId="166" fontId="35" fillId="0" borderId="28" xfId="2" applyNumberFormat="1" applyFont="1" applyFill="1" applyAlignment="1">
      <alignment horizontal="center" vertical="top"/>
    </xf>
    <xf numFmtId="0" fontId="25" fillId="22" borderId="58" xfId="1" applyFont="1" applyFill="1" applyBorder="1" applyAlignment="1">
      <alignment horizontal="left" vertical="top"/>
    </xf>
    <xf numFmtId="0" fontId="6" fillId="22" borderId="28" xfId="1" applyFont="1" applyFill="1" applyBorder="1" applyAlignment="1">
      <alignment horizontal="center" vertical="top"/>
    </xf>
    <xf numFmtId="166" fontId="25" fillId="22" borderId="61" xfId="2" applyNumberFormat="1" applyFont="1" applyFill="1" applyBorder="1" applyAlignment="1">
      <alignment horizontal="center" vertical="top"/>
    </xf>
    <xf numFmtId="166" fontId="25" fillId="22" borderId="65" xfId="2" applyNumberFormat="1" applyFont="1" applyFill="1" applyBorder="1" applyAlignment="1">
      <alignment horizontal="center" vertical="top"/>
    </xf>
    <xf numFmtId="0" fontId="6" fillId="0" borderId="28" xfId="1" applyFont="1" applyFill="1" applyAlignment="1">
      <alignment vertical="top"/>
    </xf>
    <xf numFmtId="0" fontId="38" fillId="0" borderId="49" xfId="1" applyFont="1" applyFill="1" applyBorder="1" applyAlignment="1">
      <alignment horizontal="left" vertical="top"/>
    </xf>
    <xf numFmtId="0" fontId="6" fillId="0" borderId="28" xfId="1" applyFont="1" applyFill="1" applyBorder="1" applyAlignment="1">
      <alignment horizontal="center" vertical="top"/>
    </xf>
    <xf numFmtId="0" fontId="6" fillId="20" borderId="49" xfId="1" applyFont="1" applyFill="1" applyBorder="1" applyAlignment="1">
      <alignment horizontal="left" vertical="top" indent="1"/>
    </xf>
    <xf numFmtId="0" fontId="25" fillId="20" borderId="28" xfId="1" applyFont="1" applyFill="1" applyBorder="1" applyAlignment="1">
      <alignment vertical="top"/>
    </xf>
    <xf numFmtId="166" fontId="41" fillId="20" borderId="63" xfId="2" applyNumberFormat="1" applyFont="1" applyFill="1" applyBorder="1" applyAlignment="1">
      <alignment horizontal="center" vertical="top"/>
    </xf>
    <xf numFmtId="0" fontId="35" fillId="20" borderId="49" xfId="1" applyFont="1" applyFill="1" applyBorder="1" applyAlignment="1">
      <alignment horizontal="left" vertical="top" indent="1"/>
    </xf>
    <xf numFmtId="166" fontId="45" fillId="20" borderId="28" xfId="2" applyNumberFormat="1" applyFont="1" applyFill="1" applyBorder="1" applyAlignment="1">
      <alignment horizontal="center" vertical="top"/>
    </xf>
    <xf numFmtId="166" fontId="45" fillId="20" borderId="53" xfId="2" applyNumberFormat="1" applyFont="1" applyFill="1" applyBorder="1" applyAlignment="1">
      <alignment horizontal="center" vertical="top"/>
    </xf>
    <xf numFmtId="166" fontId="25" fillId="0" borderId="28" xfId="1" applyNumberFormat="1" applyFont="1" applyFill="1" applyAlignment="1">
      <alignment horizontal="center" vertical="top"/>
    </xf>
    <xf numFmtId="166" fontId="6" fillId="0" borderId="28" xfId="1" applyNumberFormat="1" applyFont="1" applyFill="1" applyAlignment="1">
      <alignment horizontal="center" vertical="top"/>
    </xf>
    <xf numFmtId="0" fontId="25" fillId="23" borderId="66" xfId="1" applyFont="1" applyFill="1" applyBorder="1" applyAlignment="1">
      <alignment horizontal="left" vertical="top"/>
    </xf>
    <xf numFmtId="0" fontId="6" fillId="23" borderId="67" xfId="1" applyFont="1" applyFill="1" applyBorder="1" applyAlignment="1">
      <alignment horizontal="center" vertical="top"/>
    </xf>
    <xf numFmtId="0" fontId="6" fillId="23" borderId="67" xfId="1" applyFont="1" applyFill="1" applyBorder="1" applyAlignment="1">
      <alignment vertical="top"/>
    </xf>
    <xf numFmtId="166" fontId="25" fillId="23" borderId="67" xfId="1" applyNumberFormat="1" applyFont="1" applyFill="1" applyBorder="1" applyAlignment="1">
      <alignment horizontal="center" vertical="top"/>
    </xf>
    <xf numFmtId="166" fontId="25" fillId="23" borderId="68" xfId="1" applyNumberFormat="1" applyFont="1" applyFill="1" applyBorder="1" applyAlignment="1">
      <alignment horizontal="center" vertical="top"/>
    </xf>
    <xf numFmtId="0" fontId="38" fillId="0" borderId="28" xfId="1" applyFont="1" applyFill="1" applyBorder="1" applyAlignment="1">
      <alignment horizontal="left" vertical="top"/>
    </xf>
    <xf numFmtId="166" fontId="6" fillId="0" borderId="28" xfId="1" applyNumberFormat="1" applyFont="1" applyAlignment="1">
      <alignment horizontal="center" vertical="top"/>
    </xf>
    <xf numFmtId="0" fontId="6" fillId="0" borderId="44" xfId="1" applyFont="1" applyBorder="1" applyAlignment="1">
      <alignment horizontal="center" vertical="top"/>
    </xf>
    <xf numFmtId="0" fontId="6" fillId="0" borderId="44" xfId="1" applyFont="1" applyBorder="1" applyAlignment="1">
      <alignment vertical="top"/>
    </xf>
    <xf numFmtId="166" fontId="6" fillId="0" borderId="44" xfId="1" applyNumberFormat="1" applyFont="1" applyBorder="1" applyAlignment="1">
      <alignment horizontal="center" vertical="top"/>
    </xf>
    <xf numFmtId="166" fontId="6" fillId="0" borderId="48" xfId="1" applyNumberFormat="1" applyFont="1" applyBorder="1" applyAlignment="1">
      <alignment horizontal="center" vertical="top"/>
    </xf>
    <xf numFmtId="166" fontId="6" fillId="0" borderId="28" xfId="1" applyNumberFormat="1" applyFont="1" applyBorder="1" applyAlignment="1">
      <alignment horizontal="center" vertical="top"/>
    </xf>
    <xf numFmtId="166" fontId="6" fillId="0" borderId="53" xfId="1" applyNumberFormat="1" applyFont="1" applyBorder="1" applyAlignment="1">
      <alignment horizontal="center" vertical="top"/>
    </xf>
    <xf numFmtId="0" fontId="25" fillId="0" borderId="66" xfId="1" applyFont="1" applyBorder="1" applyAlignment="1">
      <alignment vertical="top"/>
    </xf>
    <xf numFmtId="0" fontId="6" fillId="0" borderId="67" xfId="1" applyFont="1" applyBorder="1" applyAlignment="1">
      <alignment horizontal="center" vertical="top"/>
    </xf>
    <xf numFmtId="0" fontId="6" fillId="0" borderId="67" xfId="1" applyFont="1" applyBorder="1" applyAlignment="1">
      <alignment vertical="top"/>
    </xf>
    <xf numFmtId="166" fontId="6" fillId="0" borderId="70" xfId="1" applyNumberFormat="1" applyFont="1" applyBorder="1" applyAlignment="1">
      <alignment horizontal="center" vertical="top"/>
    </xf>
    <xf numFmtId="0" fontId="6" fillId="0" borderId="68" xfId="1" applyFont="1" applyBorder="1" applyAlignment="1">
      <alignment horizontal="center" vertical="top"/>
    </xf>
    <xf numFmtId="0" fontId="5" fillId="0" borderId="49" xfId="1" quotePrefix="1" applyFont="1" applyBorder="1" applyAlignment="1">
      <alignment vertical="top"/>
    </xf>
    <xf numFmtId="9" fontId="48" fillId="0" borderId="28" xfId="7" applyFont="1" applyFill="1" applyBorder="1" applyAlignment="1">
      <alignment horizontal="center" vertical="top"/>
    </xf>
    <xf numFmtId="166" fontId="25" fillId="24" borderId="67" xfId="1" applyNumberFormat="1" applyFont="1" applyFill="1" applyBorder="1" applyAlignment="1">
      <alignment horizontal="center" vertical="top"/>
    </xf>
    <xf numFmtId="166" fontId="5" fillId="20" borderId="28" xfId="2" applyNumberFormat="1" applyFont="1" applyFill="1" applyBorder="1" applyAlignment="1">
      <alignment horizontal="center" vertical="top"/>
    </xf>
    <xf numFmtId="0" fontId="5" fillId="0" borderId="49" xfId="1" applyFont="1" applyBorder="1" applyAlignment="1">
      <alignment horizontal="left" vertical="top"/>
    </xf>
    <xf numFmtId="166" fontId="25" fillId="24" borderId="69" xfId="1" applyNumberFormat="1" applyFont="1" applyFill="1" applyBorder="1" applyAlignment="1">
      <alignment horizontal="center" vertical="top"/>
    </xf>
    <xf numFmtId="0" fontId="5" fillId="20" borderId="49" xfId="1" applyFont="1" applyFill="1" applyBorder="1" applyAlignment="1">
      <alignment horizontal="left" vertical="top" indent="1"/>
    </xf>
    <xf numFmtId="164" fontId="24" fillId="0" borderId="28" xfId="1" applyNumberFormat="1" applyFont="1" applyBorder="1" applyAlignment="1">
      <alignment horizontal="left" vertical="top" wrapText="1"/>
    </xf>
    <xf numFmtId="166" fontId="37" fillId="20" borderId="53" xfId="2" applyNumberFormat="1" applyFont="1" applyFill="1" applyBorder="1" applyAlignment="1">
      <alignment horizontal="center" vertical="top"/>
    </xf>
    <xf numFmtId="166" fontId="25" fillId="20" borderId="53" xfId="2" applyNumberFormat="1" applyFont="1" applyFill="1" applyBorder="1" applyAlignment="1">
      <alignment horizontal="center" vertical="top"/>
    </xf>
    <xf numFmtId="0" fontId="25" fillId="0" borderId="43" xfId="1" applyFont="1" applyBorder="1" applyAlignment="1">
      <alignment vertical="top"/>
    </xf>
    <xf numFmtId="0" fontId="35" fillId="0" borderId="66" xfId="1" applyFont="1" applyBorder="1" applyAlignment="1">
      <alignment horizontal="left" vertical="top"/>
    </xf>
    <xf numFmtId="166" fontId="6" fillId="0" borderId="67" xfId="2" applyNumberFormat="1" applyFont="1" applyBorder="1" applyAlignment="1">
      <alignment horizontal="center" vertical="top"/>
    </xf>
    <xf numFmtId="0" fontId="25" fillId="0" borderId="67" xfId="1" applyFont="1" applyBorder="1" applyAlignment="1">
      <alignment vertical="top"/>
    </xf>
    <xf numFmtId="0" fontId="6" fillId="0" borderId="44" xfId="1" applyFont="1" applyFill="1" applyBorder="1" applyAlignment="1">
      <alignment horizontal="center" vertical="top"/>
    </xf>
    <xf numFmtId="0" fontId="6" fillId="0" borderId="48" xfId="1" applyFont="1" applyFill="1" applyBorder="1" applyAlignment="1">
      <alignment horizontal="center" vertical="top"/>
    </xf>
    <xf numFmtId="166" fontId="25" fillId="0" borderId="67" xfId="2" applyNumberFormat="1" applyFont="1" applyFill="1" applyBorder="1" applyAlignment="1">
      <alignment horizontal="center" vertical="top"/>
    </xf>
    <xf numFmtId="166" fontId="6" fillId="0" borderId="67" xfId="2" applyNumberFormat="1" applyFont="1" applyFill="1" applyBorder="1" applyAlignment="1">
      <alignment horizontal="center" vertical="top"/>
    </xf>
    <xf numFmtId="166" fontId="25" fillId="0" borderId="53" xfId="2" applyNumberFormat="1" applyFont="1" applyFill="1" applyBorder="1" applyAlignment="1">
      <alignment horizontal="center" vertical="top"/>
    </xf>
    <xf numFmtId="166" fontId="34" fillId="0" borderId="67" xfId="2" applyNumberFormat="1" applyFont="1" applyFill="1" applyBorder="1" applyAlignment="1">
      <alignment horizontal="center" vertical="top"/>
    </xf>
    <xf numFmtId="166" fontId="37" fillId="0" borderId="67" xfId="2" applyNumberFormat="1" applyFont="1" applyFill="1" applyBorder="1" applyAlignment="1">
      <alignment horizontal="center" vertical="top"/>
    </xf>
    <xf numFmtId="166" fontId="25" fillId="0" borderId="68" xfId="2" applyNumberFormat="1" applyFont="1" applyFill="1" applyBorder="1" applyAlignment="1">
      <alignment horizontal="center" vertical="top"/>
    </xf>
    <xf numFmtId="166" fontId="25" fillId="0" borderId="53" xfId="2" applyNumberFormat="1" applyFont="1" applyBorder="1" applyAlignment="1">
      <alignment horizontal="center" vertical="top"/>
    </xf>
    <xf numFmtId="166" fontId="37" fillId="0" borderId="53" xfId="2" applyNumberFormat="1" applyFont="1" applyBorder="1" applyAlignment="1">
      <alignment horizontal="center" vertical="top"/>
    </xf>
    <xf numFmtId="9" fontId="40" fillId="0" borderId="53" xfId="4" applyFont="1" applyFill="1" applyBorder="1" applyAlignment="1">
      <alignment horizontal="center" vertical="top"/>
    </xf>
    <xf numFmtId="166" fontId="37" fillId="20" borderId="56" xfId="2" applyNumberFormat="1" applyFont="1" applyFill="1" applyBorder="1" applyAlignment="1">
      <alignment horizontal="center" vertical="top"/>
    </xf>
    <xf numFmtId="0" fontId="24" fillId="0" borderId="28" xfId="1" applyFont="1" applyBorder="1" applyAlignment="1">
      <alignment horizontal="left" vertical="top" wrapText="1"/>
    </xf>
    <xf numFmtId="0" fontId="18" fillId="0" borderId="0" xfId="0" applyFont="1" applyAlignment="1">
      <alignment vertical="center"/>
    </xf>
    <xf numFmtId="0" fontId="4" fillId="0" borderId="49" xfId="1" applyFont="1" applyBorder="1" applyAlignment="1">
      <alignment horizontal="left" vertical="top"/>
    </xf>
    <xf numFmtId="166" fontId="4" fillId="0" borderId="28" xfId="2" applyNumberFormat="1" applyFont="1" applyBorder="1" applyAlignment="1">
      <alignment horizontal="center" vertical="top"/>
    </xf>
    <xf numFmtId="0" fontId="51" fillId="0" borderId="49" xfId="1" applyFont="1" applyBorder="1" applyAlignment="1">
      <alignment horizontal="left" vertical="top" indent="1"/>
    </xf>
    <xf numFmtId="9" fontId="52" fillId="0" borderId="28" xfId="7" applyFont="1" applyFill="1" applyBorder="1" applyAlignment="1">
      <alignment horizontal="center" vertical="top"/>
    </xf>
    <xf numFmtId="166" fontId="37" fillId="0" borderId="63" xfId="2" applyNumberFormat="1" applyFont="1" applyFill="1" applyBorder="1" applyAlignment="1">
      <alignment horizontal="center" vertical="top"/>
    </xf>
    <xf numFmtId="166" fontId="41" fillId="0" borderId="62" xfId="2" applyNumberFormat="1" applyFont="1" applyFill="1" applyBorder="1" applyAlignment="1">
      <alignment horizontal="center" vertical="top"/>
    </xf>
    <xf numFmtId="166" fontId="37" fillId="0" borderId="56" xfId="2" applyNumberFormat="1" applyFont="1" applyFill="1" applyBorder="1" applyAlignment="1">
      <alignment horizontal="center" vertical="top"/>
    </xf>
    <xf numFmtId="0" fontId="24" fillId="0" borderId="28" xfId="1" applyFont="1" applyBorder="1" applyAlignment="1">
      <alignment horizontal="left" vertical="top" wrapText="1"/>
    </xf>
    <xf numFmtId="0" fontId="25" fillId="20" borderId="43" xfId="1" applyFont="1" applyFill="1" applyBorder="1" applyAlignment="1">
      <alignment vertical="top"/>
    </xf>
    <xf numFmtId="166" fontId="6" fillId="20" borderId="44" xfId="2" applyNumberFormat="1" applyFont="1" applyFill="1" applyBorder="1" applyAlignment="1">
      <alignment horizontal="center" vertical="top"/>
    </xf>
    <xf numFmtId="0" fontId="25" fillId="20" borderId="44" xfId="1" applyFont="1" applyFill="1" applyBorder="1" applyAlignment="1">
      <alignment vertical="top"/>
    </xf>
    <xf numFmtId="166" fontId="41" fillId="20" borderId="44" xfId="2" applyNumberFormat="1" applyFont="1" applyFill="1" applyBorder="1" applyAlignment="1">
      <alignment horizontal="center" vertical="top"/>
    </xf>
    <xf numFmtId="166" fontId="41" fillId="20" borderId="48" xfId="2" applyNumberFormat="1" applyFont="1" applyFill="1" applyBorder="1" applyAlignment="1">
      <alignment horizontal="center" vertical="top"/>
    </xf>
    <xf numFmtId="166" fontId="41" fillId="20" borderId="53" xfId="2" applyNumberFormat="1" applyFont="1" applyFill="1" applyBorder="1" applyAlignment="1">
      <alignment horizontal="center" vertical="top"/>
    </xf>
    <xf numFmtId="0" fontId="25" fillId="20" borderId="66" xfId="1" applyFont="1" applyFill="1" applyBorder="1" applyAlignment="1">
      <alignment horizontal="left" vertical="top"/>
    </xf>
    <xf numFmtId="0" fontId="6" fillId="20" borderId="67" xfId="1" applyFont="1" applyFill="1" applyBorder="1" applyAlignment="1">
      <alignment horizontal="center" vertical="top"/>
    </xf>
    <xf numFmtId="0" fontId="6" fillId="20" borderId="67" xfId="1" applyFont="1" applyFill="1" applyBorder="1" applyAlignment="1">
      <alignment vertical="top"/>
    </xf>
    <xf numFmtId="166" fontId="25" fillId="20" borderId="67" xfId="1" applyNumberFormat="1" applyFont="1" applyFill="1" applyBorder="1" applyAlignment="1">
      <alignment horizontal="center" vertical="top"/>
    </xf>
    <xf numFmtId="166" fontId="25" fillId="20" borderId="68" xfId="1" applyNumberFormat="1" applyFont="1" applyFill="1" applyBorder="1" applyAlignment="1">
      <alignment horizontal="center" vertical="top"/>
    </xf>
    <xf numFmtId="166" fontId="25" fillId="24" borderId="70" xfId="1" applyNumberFormat="1" applyFont="1" applyFill="1" applyBorder="1" applyAlignment="1">
      <alignment horizontal="center" vertical="top"/>
    </xf>
    <xf numFmtId="166" fontId="6" fillId="0" borderId="28" xfId="1" applyNumberFormat="1" applyFont="1" applyFill="1" applyBorder="1" applyAlignment="1">
      <alignment horizontal="center" vertical="top"/>
    </xf>
    <xf numFmtId="166" fontId="45" fillId="20" borderId="63" xfId="2" applyNumberFormat="1" applyFont="1" applyFill="1" applyBorder="1" applyAlignment="1">
      <alignment horizontal="center" vertical="top"/>
    </xf>
    <xf numFmtId="166" fontId="41" fillId="20" borderId="43" xfId="2" applyNumberFormat="1" applyFont="1" applyFill="1" applyBorder="1" applyAlignment="1">
      <alignment horizontal="center" vertical="top"/>
    </xf>
    <xf numFmtId="166" fontId="41" fillId="20" borderId="71" xfId="2" applyNumberFormat="1" applyFont="1" applyFill="1" applyBorder="1" applyAlignment="1">
      <alignment horizontal="center" vertical="top"/>
    </xf>
    <xf numFmtId="166" fontId="41" fillId="20" borderId="72" xfId="2" applyNumberFormat="1" applyFont="1" applyFill="1" applyBorder="1" applyAlignment="1">
      <alignment horizontal="center" vertical="top"/>
    </xf>
    <xf numFmtId="166" fontId="41" fillId="20" borderId="49" xfId="2" applyNumberFormat="1" applyFont="1" applyFill="1" applyBorder="1" applyAlignment="1">
      <alignment horizontal="center" vertical="top"/>
    </xf>
    <xf numFmtId="166" fontId="45" fillId="20" borderId="49" xfId="2" applyNumberFormat="1" applyFont="1" applyFill="1" applyBorder="1" applyAlignment="1">
      <alignment horizontal="center" vertical="top"/>
    </xf>
    <xf numFmtId="166" fontId="25" fillId="20" borderId="66" xfId="1" applyNumberFormat="1" applyFont="1" applyFill="1" applyBorder="1" applyAlignment="1">
      <alignment horizontal="center" vertical="top"/>
    </xf>
    <xf numFmtId="166" fontId="25" fillId="20" borderId="73" xfId="1" applyNumberFormat="1" applyFont="1" applyFill="1" applyBorder="1" applyAlignment="1">
      <alignment horizontal="center" vertical="top"/>
    </xf>
    <xf numFmtId="166" fontId="38" fillId="0" borderId="53" xfId="2" applyNumberFormat="1" applyFont="1" applyFill="1" applyBorder="1" applyAlignment="1">
      <alignment horizontal="center" vertical="top"/>
    </xf>
    <xf numFmtId="0" fontId="6" fillId="0" borderId="48" xfId="1" applyFont="1" applyBorder="1" applyAlignment="1">
      <alignment horizontal="center" vertical="top"/>
    </xf>
    <xf numFmtId="166" fontId="37" fillId="20" borderId="68" xfId="2" applyNumberFormat="1" applyFont="1" applyFill="1" applyBorder="1" applyAlignment="1">
      <alignment horizontal="center" vertical="top"/>
    </xf>
    <xf numFmtId="166" fontId="37" fillId="0" borderId="53" xfId="2" applyNumberFormat="1" applyFont="1" applyFill="1" applyBorder="1" applyAlignment="1">
      <alignment horizontal="center" vertical="top"/>
    </xf>
    <xf numFmtId="166" fontId="34" fillId="0" borderId="53" xfId="2" applyNumberFormat="1" applyFont="1" applyFill="1" applyBorder="1" applyAlignment="1">
      <alignment horizontal="center" vertical="top"/>
    </xf>
    <xf numFmtId="0" fontId="3" fillId="0" borderId="49" xfId="1" applyFont="1" applyBorder="1" applyAlignment="1">
      <alignment horizontal="left" vertical="top"/>
    </xf>
    <xf numFmtId="0" fontId="54" fillId="0" borderId="8" xfId="9" applyFont="1" applyBorder="1" applyAlignment="1">
      <alignment horizontal="right"/>
    </xf>
    <xf numFmtId="0" fontId="54" fillId="0" borderId="8" xfId="9" applyFont="1" applyBorder="1"/>
    <xf numFmtId="0" fontId="53" fillId="0" borderId="28" xfId="9" applyFont="1" applyAlignment="1"/>
    <xf numFmtId="0" fontId="54" fillId="0" borderId="28" xfId="9" applyFont="1" applyAlignment="1">
      <alignment horizontal="right"/>
    </xf>
    <xf numFmtId="0" fontId="54" fillId="0" borderId="28" xfId="9" applyFont="1" applyAlignment="1">
      <alignment horizontal="center" vertical="center"/>
    </xf>
    <xf numFmtId="0" fontId="54" fillId="0" borderId="28" xfId="9" applyFont="1" applyAlignment="1">
      <alignment horizontal="center"/>
    </xf>
    <xf numFmtId="0" fontId="56" fillId="0" borderId="28" xfId="9" applyFont="1" applyAlignment="1">
      <alignment horizontal="center" wrapText="1"/>
    </xf>
    <xf numFmtId="0" fontId="56" fillId="9" borderId="28" xfId="9" applyFont="1" applyFill="1" applyAlignment="1">
      <alignment horizontal="center" vertical="center" wrapText="1"/>
    </xf>
    <xf numFmtId="0" fontId="54" fillId="0" borderId="28" xfId="9" applyFont="1" applyAlignment="1">
      <alignment vertical="center"/>
    </xf>
    <xf numFmtId="0" fontId="56" fillId="0" borderId="74" xfId="9" applyFont="1" applyBorder="1" applyAlignment="1">
      <alignment horizontal="center" wrapText="1"/>
    </xf>
    <xf numFmtId="0" fontId="56" fillId="9" borderId="75" xfId="9" applyFont="1" applyFill="1" applyBorder="1" applyAlignment="1">
      <alignment horizontal="center" vertical="center" wrapText="1"/>
    </xf>
    <xf numFmtId="0" fontId="56" fillId="9" borderId="74" xfId="9" applyFont="1" applyFill="1" applyBorder="1" applyAlignment="1">
      <alignment horizontal="center" vertical="center" wrapText="1"/>
    </xf>
    <xf numFmtId="0" fontId="56" fillId="9" borderId="76" xfId="9" applyFont="1" applyFill="1" applyBorder="1" applyAlignment="1">
      <alignment horizontal="center" vertical="center" wrapText="1"/>
    </xf>
    <xf numFmtId="0" fontId="56" fillId="9" borderId="77" xfId="9" applyFont="1" applyFill="1" applyBorder="1" applyAlignment="1">
      <alignment horizontal="center" vertical="center" wrapText="1"/>
    </xf>
    <xf numFmtId="0" fontId="54" fillId="0" borderId="8" xfId="9" applyFont="1" applyBorder="1" applyAlignment="1">
      <alignment vertical="center"/>
    </xf>
    <xf numFmtId="0" fontId="56" fillId="0" borderId="28" xfId="9" applyFont="1" applyAlignment="1">
      <alignment horizontal="center"/>
    </xf>
    <xf numFmtId="0" fontId="54" fillId="0" borderId="78" xfId="9" applyFont="1" applyBorder="1" applyAlignment="1">
      <alignment horizontal="center"/>
    </xf>
    <xf numFmtId="0" fontId="54" fillId="0" borderId="79" xfId="9" applyFont="1" applyBorder="1" applyAlignment="1">
      <alignment horizontal="center"/>
    </xf>
    <xf numFmtId="0" fontId="54" fillId="0" borderId="80" xfId="9" applyFont="1" applyBorder="1" applyAlignment="1">
      <alignment horizontal="center"/>
    </xf>
    <xf numFmtId="0" fontId="54" fillId="0" borderId="81" xfId="9" applyFont="1" applyBorder="1" applyAlignment="1">
      <alignment horizontal="center"/>
    </xf>
    <xf numFmtId="0" fontId="54" fillId="0" borderId="82" xfId="9" applyFont="1" applyBorder="1" applyAlignment="1">
      <alignment horizontal="center"/>
    </xf>
    <xf numFmtId="0" fontId="54" fillId="0" borderId="83" xfId="9" applyFont="1" applyBorder="1" applyAlignment="1">
      <alignment horizontal="center"/>
    </xf>
    <xf numFmtId="0" fontId="54" fillId="0" borderId="28" xfId="9" applyFont="1" applyAlignment="1">
      <alignment horizontal="center" wrapText="1"/>
    </xf>
    <xf numFmtId="0" fontId="54" fillId="0" borderId="79" xfId="9" applyFont="1" applyBorder="1" applyAlignment="1">
      <alignment horizontal="center" wrapText="1"/>
    </xf>
    <xf numFmtId="0" fontId="54" fillId="0" borderId="78" xfId="9" applyFont="1" applyBorder="1"/>
    <xf numFmtId="0" fontId="54" fillId="0" borderId="79" xfId="9" applyFont="1" applyBorder="1"/>
    <xf numFmtId="0" fontId="54" fillId="0" borderId="80" xfId="9" applyFont="1" applyBorder="1"/>
    <xf numFmtId="0" fontId="54" fillId="0" borderId="81" xfId="9" applyFont="1" applyBorder="1"/>
    <xf numFmtId="0" fontId="54" fillId="0" borderId="82" xfId="9" applyFont="1" applyBorder="1"/>
    <xf numFmtId="0" fontId="54" fillId="0" borderId="83" xfId="9" applyFont="1" applyBorder="1"/>
    <xf numFmtId="0" fontId="57" fillId="0" borderId="28" xfId="9" applyFont="1" applyAlignment="1"/>
    <xf numFmtId="0" fontId="58" fillId="0" borderId="28" xfId="9" applyFont="1" applyAlignment="1"/>
    <xf numFmtId="9" fontId="53" fillId="0" borderId="28" xfId="9" applyNumberFormat="1" applyFont="1" applyAlignment="1"/>
    <xf numFmtId="1" fontId="53" fillId="0" borderId="28" xfId="9" applyNumberFormat="1" applyFont="1" applyAlignment="1"/>
    <xf numFmtId="0" fontId="59" fillId="0" borderId="28" xfId="9" applyFont="1" applyAlignment="1"/>
    <xf numFmtId="169" fontId="53" fillId="0" borderId="59" xfId="8" applyNumberFormat="1" applyFont="1" applyBorder="1" applyAlignment="1"/>
    <xf numFmtId="166" fontId="32" fillId="20" borderId="28" xfId="2" applyNumberFormat="1" applyFont="1" applyFill="1" applyBorder="1" applyAlignment="1">
      <alignment horizontal="center" vertical="top"/>
    </xf>
    <xf numFmtId="166" fontId="32" fillId="20" borderId="53" xfId="2" applyNumberFormat="1" applyFont="1" applyFill="1" applyBorder="1" applyAlignment="1">
      <alignment horizontal="center" vertical="top"/>
    </xf>
    <xf numFmtId="166" fontId="32" fillId="20" borderId="49" xfId="2" applyNumberFormat="1" applyFont="1" applyFill="1" applyBorder="1" applyAlignment="1">
      <alignment horizontal="center" vertical="top"/>
    </xf>
    <xf numFmtId="166" fontId="25" fillId="24" borderId="68" xfId="1" applyNumberFormat="1" applyFont="1" applyFill="1" applyBorder="1" applyAlignment="1">
      <alignment horizontal="center" vertical="top"/>
    </xf>
    <xf numFmtId="166" fontId="32" fillId="20" borderId="63" xfId="2" applyNumberFormat="1" applyFont="1" applyFill="1" applyBorder="1" applyAlignment="1">
      <alignment horizontal="center" vertical="top"/>
    </xf>
    <xf numFmtId="166" fontId="25" fillId="20" borderId="57" xfId="2" applyNumberFormat="1" applyFont="1" applyFill="1" applyBorder="1" applyAlignment="1">
      <alignment horizontal="center" vertical="top"/>
    </xf>
    <xf numFmtId="166" fontId="25" fillId="0" borderId="57" xfId="2" applyNumberFormat="1" applyFont="1" applyBorder="1" applyAlignment="1">
      <alignment horizontal="center" vertical="top"/>
    </xf>
    <xf numFmtId="166" fontId="37" fillId="0" borderId="57" xfId="2" applyNumberFormat="1" applyFont="1" applyBorder="1" applyAlignment="1">
      <alignment horizontal="center" vertical="top"/>
    </xf>
    <xf numFmtId="9" fontId="40" fillId="0" borderId="57" xfId="4" applyFont="1" applyFill="1" applyBorder="1" applyAlignment="1">
      <alignment horizontal="center" vertical="top"/>
    </xf>
    <xf numFmtId="166" fontId="37" fillId="0" borderId="57" xfId="2" applyNumberFormat="1" applyFont="1" applyFill="1" applyBorder="1" applyAlignment="1">
      <alignment horizontal="center" vertical="top"/>
    </xf>
    <xf numFmtId="166" fontId="37" fillId="20" borderId="57" xfId="2" applyNumberFormat="1" applyFont="1" applyFill="1" applyBorder="1" applyAlignment="1">
      <alignment horizontal="center" vertical="top"/>
    </xf>
    <xf numFmtId="166" fontId="25" fillId="0" borderId="57" xfId="2" applyNumberFormat="1" applyFont="1" applyFill="1" applyBorder="1" applyAlignment="1">
      <alignment horizontal="center" vertical="top"/>
    </xf>
    <xf numFmtId="166" fontId="35" fillId="0" borderId="57" xfId="2" applyNumberFormat="1" applyFont="1" applyBorder="1" applyAlignment="1">
      <alignment horizontal="center" vertical="top"/>
    </xf>
    <xf numFmtId="0" fontId="49" fillId="0" borderId="0" xfId="0" applyFont="1" applyAlignment="1">
      <alignment vertical="top"/>
    </xf>
    <xf numFmtId="0" fontId="60" fillId="21" borderId="28" xfId="1" quotePrefix="1" applyFont="1" applyFill="1" applyAlignment="1">
      <alignment vertical="top"/>
    </xf>
    <xf numFmtId="0" fontId="2" fillId="21" borderId="28" xfId="1" applyFont="1" applyFill="1" applyAlignment="1">
      <alignment horizontal="center" vertical="top"/>
    </xf>
    <xf numFmtId="0" fontId="2" fillId="21" borderId="28" xfId="1" applyFont="1" applyFill="1" applyAlignment="1">
      <alignment vertical="top"/>
    </xf>
    <xf numFmtId="0" fontId="24" fillId="21" borderId="28" xfId="1" applyFont="1" applyFill="1" applyAlignment="1">
      <alignment horizontal="left" vertical="top"/>
    </xf>
    <xf numFmtId="0" fontId="61" fillId="21" borderId="28" xfId="1" quotePrefix="1" applyFont="1" applyFill="1" applyAlignment="1">
      <alignment vertical="top"/>
    </xf>
    <xf numFmtId="0" fontId="2" fillId="0" borderId="49" xfId="1" applyFont="1" applyBorder="1" applyAlignment="1">
      <alignment horizontal="left" vertical="top"/>
    </xf>
    <xf numFmtId="0" fontId="50" fillId="5" borderId="17" xfId="0" applyFont="1" applyFill="1" applyBorder="1" applyAlignment="1">
      <alignment horizontal="center"/>
    </xf>
    <xf numFmtId="169" fontId="53" fillId="21" borderId="59" xfId="8" applyNumberFormat="1" applyFont="1" applyFill="1" applyBorder="1" applyAlignment="1"/>
    <xf numFmtId="169" fontId="53" fillId="0" borderId="59" xfId="8" applyNumberFormat="1" applyFont="1" applyFill="1" applyBorder="1" applyAlignment="1"/>
    <xf numFmtId="164" fontId="24" fillId="0" borderId="28" xfId="1" applyNumberFormat="1" applyFont="1" applyBorder="1" applyAlignment="1">
      <alignment vertical="top"/>
    </xf>
    <xf numFmtId="164" fontId="39" fillId="0" borderId="28" xfId="2" applyNumberFormat="1" applyFont="1" applyFill="1" applyBorder="1" applyAlignment="1">
      <alignment horizontal="center" vertical="top"/>
    </xf>
    <xf numFmtId="0" fontId="8" fillId="0" borderId="0" xfId="0" applyFont="1" applyAlignment="1">
      <alignment vertical="top"/>
    </xf>
    <xf numFmtId="0" fontId="50" fillId="0" borderId="0" xfId="0" applyFont="1" applyAlignment="1">
      <alignment vertical="top"/>
    </xf>
    <xf numFmtId="0" fontId="25" fillId="0" borderId="49" xfId="1" applyFont="1" applyFill="1" applyBorder="1" applyAlignment="1">
      <alignment vertical="top"/>
    </xf>
    <xf numFmtId="9" fontId="24" fillId="0" borderId="28" xfId="7" applyFont="1" applyBorder="1" applyAlignment="1">
      <alignment horizontal="left" vertical="top" wrapText="1"/>
    </xf>
    <xf numFmtId="9" fontId="6" fillId="0" borderId="28" xfId="7" applyFont="1" applyBorder="1" applyAlignment="1">
      <alignment horizontal="left" vertical="top"/>
    </xf>
    <xf numFmtId="0" fontId="1" fillId="0" borderId="28" xfId="1" applyFont="1" applyAlignment="1">
      <alignment vertical="top"/>
    </xf>
    <xf numFmtId="0" fontId="1" fillId="0" borderId="49" xfId="1" applyFont="1" applyBorder="1" applyAlignment="1">
      <alignment horizontal="left" vertical="top"/>
    </xf>
    <xf numFmtId="166" fontId="25" fillId="0" borderId="53" xfId="1" applyNumberFormat="1" applyFont="1" applyBorder="1" applyAlignment="1">
      <alignment horizontal="center" vertical="top"/>
    </xf>
    <xf numFmtId="166" fontId="25" fillId="0" borderId="48" xfId="1" applyNumberFormat="1" applyFont="1" applyBorder="1" applyAlignment="1">
      <alignment horizontal="center" vertical="top"/>
    </xf>
    <xf numFmtId="0" fontId="25" fillId="0" borderId="49" xfId="1" applyFont="1" applyBorder="1" applyAlignment="1">
      <alignment vertical="top"/>
    </xf>
    <xf numFmtId="166" fontId="6" fillId="23" borderId="69" xfId="1" applyNumberFormat="1" applyFont="1" applyFill="1" applyBorder="1" applyAlignment="1">
      <alignment horizontal="center" vertical="top"/>
    </xf>
    <xf numFmtId="166" fontId="62" fillId="20" borderId="63" xfId="2" applyNumberFormat="1" applyFont="1" applyFill="1" applyBorder="1" applyAlignment="1">
      <alignment horizontal="left" vertical="center"/>
    </xf>
    <xf numFmtId="166" fontId="62" fillId="20" borderId="53" xfId="2" applyNumberFormat="1" applyFont="1" applyFill="1" applyBorder="1" applyAlignment="1">
      <alignment horizontal="left" vertical="center"/>
    </xf>
    <xf numFmtId="166" fontId="62" fillId="0" borderId="28" xfId="2" applyNumberFormat="1" applyFont="1" applyFill="1" applyBorder="1" applyAlignment="1">
      <alignment horizontal="left" vertical="center"/>
    </xf>
    <xf numFmtId="166" fontId="62" fillId="0" borderId="63" xfId="2" applyNumberFormat="1" applyFont="1" applyBorder="1" applyAlignment="1">
      <alignment horizontal="left" vertical="center"/>
    </xf>
    <xf numFmtId="166" fontId="65" fillId="0" borderId="28" xfId="2" applyNumberFormat="1" applyFont="1" applyFill="1" applyBorder="1" applyAlignment="1">
      <alignment horizontal="left" vertical="center"/>
    </xf>
    <xf numFmtId="9" fontId="64" fillId="0" borderId="28" xfId="4" applyFont="1" applyFill="1" applyBorder="1" applyAlignment="1">
      <alignment horizontal="left" vertical="center"/>
    </xf>
    <xf numFmtId="166" fontId="62" fillId="0" borderId="53" xfId="2" applyNumberFormat="1" applyFont="1" applyBorder="1" applyAlignment="1">
      <alignment horizontal="left" vertical="center"/>
    </xf>
    <xf numFmtId="166" fontId="65" fillId="0" borderId="56" xfId="2" applyNumberFormat="1" applyFont="1" applyFill="1" applyBorder="1" applyAlignment="1">
      <alignment horizontal="left" vertical="center"/>
    </xf>
    <xf numFmtId="166" fontId="65" fillId="0" borderId="28" xfId="2" applyNumberFormat="1" applyFont="1" applyBorder="1" applyAlignment="1">
      <alignment horizontal="left" vertical="center"/>
    </xf>
    <xf numFmtId="166" fontId="65" fillId="0" borderId="28" xfId="2" quotePrefix="1" applyNumberFormat="1" applyFont="1" applyFill="1" applyBorder="1" applyAlignment="1">
      <alignment horizontal="left" vertical="center"/>
    </xf>
    <xf numFmtId="9" fontId="64" fillId="0" borderId="63" xfId="4" applyFont="1" applyFill="1" applyBorder="1" applyAlignment="1">
      <alignment horizontal="left" vertical="center"/>
    </xf>
    <xf numFmtId="9" fontId="64" fillId="0" borderId="53" xfId="4" applyFont="1" applyFill="1" applyBorder="1" applyAlignment="1">
      <alignment horizontal="left" vertical="center"/>
    </xf>
    <xf numFmtId="166" fontId="65" fillId="0" borderId="62" xfId="2" applyNumberFormat="1" applyFont="1" applyFill="1" applyBorder="1" applyAlignment="1">
      <alignment horizontal="left" vertical="center"/>
    </xf>
    <xf numFmtId="166" fontId="62" fillId="0" borderId="63" xfId="2" applyNumberFormat="1" applyFont="1" applyFill="1" applyBorder="1" applyAlignment="1">
      <alignment horizontal="left" vertical="center"/>
    </xf>
    <xf numFmtId="166" fontId="62" fillId="0" borderId="53" xfId="2" applyNumberFormat="1" applyFont="1" applyFill="1" applyBorder="1" applyAlignment="1">
      <alignment horizontal="left" vertical="center"/>
    </xf>
    <xf numFmtId="166" fontId="65" fillId="20" borderId="56" xfId="2" applyNumberFormat="1" applyFont="1" applyFill="1" applyBorder="1" applyAlignment="1">
      <alignment horizontal="left" vertical="center"/>
    </xf>
    <xf numFmtId="166" fontId="65" fillId="20" borderId="28" xfId="2" applyNumberFormat="1" applyFont="1" applyFill="1" applyBorder="1" applyAlignment="1">
      <alignment horizontal="left" vertical="center"/>
    </xf>
    <xf numFmtId="166" fontId="66" fillId="0" borderId="28" xfId="2" applyNumberFormat="1" applyFont="1" applyFill="1" applyBorder="1" applyAlignment="1">
      <alignment horizontal="left" vertical="center"/>
    </xf>
    <xf numFmtId="166" fontId="63" fillId="0" borderId="28" xfId="2" applyNumberFormat="1" applyFont="1" applyFill="1" applyBorder="1" applyAlignment="1">
      <alignment horizontal="left" vertical="center"/>
    </xf>
    <xf numFmtId="9" fontId="67" fillId="0" borderId="28" xfId="7" applyFont="1" applyFill="1" applyBorder="1" applyAlignment="1">
      <alignment horizontal="left" vertical="center"/>
    </xf>
    <xf numFmtId="164" fontId="63" fillId="0" borderId="28" xfId="2" applyNumberFormat="1" applyFont="1" applyFill="1" applyBorder="1" applyAlignment="1">
      <alignment horizontal="left" vertical="center"/>
    </xf>
    <xf numFmtId="166" fontId="62" fillId="20" borderId="28" xfId="2" applyNumberFormat="1" applyFont="1" applyFill="1" applyBorder="1" applyAlignment="1">
      <alignment horizontal="left" vertical="center"/>
    </xf>
    <xf numFmtId="166" fontId="65" fillId="20" borderId="49" xfId="2" applyNumberFormat="1" applyFont="1" applyFill="1" applyBorder="1" applyAlignment="1">
      <alignment horizontal="left" vertical="center"/>
    </xf>
    <xf numFmtId="166" fontId="63" fillId="20" borderId="28" xfId="2" applyNumberFormat="1" applyFont="1" applyFill="1" applyBorder="1" applyAlignment="1">
      <alignment horizontal="left" vertical="center"/>
    </xf>
    <xf numFmtId="166" fontId="62" fillId="0" borderId="67" xfId="2" applyNumberFormat="1" applyFont="1" applyFill="1" applyBorder="1" applyAlignment="1">
      <alignment horizontal="left" vertical="center"/>
    </xf>
    <xf numFmtId="166" fontId="62" fillId="20" borderId="68" xfId="2" applyNumberFormat="1" applyFont="1" applyFill="1" applyBorder="1" applyAlignment="1">
      <alignment horizontal="left" vertical="center"/>
    </xf>
    <xf numFmtId="166" fontId="63" fillId="27" borderId="28" xfId="2" applyNumberFormat="1" applyFont="1" applyFill="1" applyBorder="1" applyAlignment="1">
      <alignment horizontal="left" vertical="center"/>
    </xf>
    <xf numFmtId="0" fontId="73" fillId="0" borderId="28" xfId="1" applyFont="1" applyAlignment="1">
      <alignment horizontal="left" vertical="top"/>
    </xf>
    <xf numFmtId="0" fontId="73" fillId="0" borderId="28" xfId="1" applyFont="1" applyAlignment="1">
      <alignment vertical="top"/>
    </xf>
    <xf numFmtId="0" fontId="65" fillId="0" borderId="28" xfId="1" applyFont="1" applyAlignment="1">
      <alignment horizontal="center" vertical="top"/>
    </xf>
    <xf numFmtId="0" fontId="65" fillId="0" borderId="28" xfId="1" applyFont="1" applyAlignment="1">
      <alignment vertical="top"/>
    </xf>
    <xf numFmtId="0" fontId="59" fillId="0" borderId="28" xfId="1" applyFont="1" applyAlignment="1">
      <alignment horizontal="left" vertical="top"/>
    </xf>
    <xf numFmtId="0" fontId="65" fillId="0" borderId="28" xfId="1" applyFont="1" applyFill="1" applyAlignment="1">
      <alignment horizontal="center" vertical="top"/>
    </xf>
    <xf numFmtId="0" fontId="68" fillId="0" borderId="28" xfId="1" applyFont="1" applyAlignment="1">
      <alignment vertical="top"/>
    </xf>
    <xf numFmtId="0" fontId="63" fillId="21" borderId="28" xfId="1" quotePrefix="1" applyFont="1" applyFill="1" applyAlignment="1">
      <alignment vertical="top"/>
    </xf>
    <xf numFmtId="0" fontId="65" fillId="21" borderId="28" xfId="1" applyFont="1" applyFill="1" applyAlignment="1">
      <alignment horizontal="center" vertical="top"/>
    </xf>
    <xf numFmtId="0" fontId="65" fillId="21" borderId="28" xfId="1" applyFont="1" applyFill="1" applyAlignment="1">
      <alignment vertical="top"/>
    </xf>
    <xf numFmtId="0" fontId="59" fillId="21" borderId="28" xfId="1" applyFont="1" applyFill="1" applyAlignment="1">
      <alignment horizontal="left" vertical="top"/>
    </xf>
    <xf numFmtId="0" fontId="59" fillId="0" borderId="28" xfId="1" applyFont="1" applyAlignment="1">
      <alignment vertical="top"/>
    </xf>
    <xf numFmtId="0" fontId="63" fillId="26" borderId="28" xfId="1" applyFont="1" applyFill="1" applyAlignment="1">
      <alignment vertical="top"/>
    </xf>
    <xf numFmtId="0" fontId="65" fillId="21" borderId="28" xfId="1" quotePrefix="1" applyFont="1" applyFill="1" applyAlignment="1">
      <alignment vertical="top"/>
    </xf>
    <xf numFmtId="0" fontId="65" fillId="0" borderId="28" xfId="1" applyFont="1" applyAlignment="1">
      <alignment horizontal="left" vertical="center"/>
    </xf>
    <xf numFmtId="0" fontId="65" fillId="0" borderId="28" xfId="1" applyFont="1" applyBorder="1" applyAlignment="1">
      <alignment horizontal="left" vertical="center"/>
    </xf>
    <xf numFmtId="0" fontId="74" fillId="18" borderId="48" xfId="1" applyFont="1" applyFill="1" applyBorder="1" applyAlignment="1">
      <alignment horizontal="left" vertical="center"/>
    </xf>
    <xf numFmtId="0" fontId="74" fillId="0" borderId="28" xfId="1" applyFont="1" applyFill="1" applyBorder="1" applyAlignment="1">
      <alignment horizontal="left" vertical="center"/>
    </xf>
    <xf numFmtId="0" fontId="59" fillId="0" borderId="28" xfId="1" applyFont="1" applyFill="1" applyBorder="1" applyAlignment="1">
      <alignment horizontal="left" vertical="center"/>
    </xf>
    <xf numFmtId="166" fontId="62" fillId="0" borderId="28" xfId="2" applyNumberFormat="1" applyFont="1" applyBorder="1" applyAlignment="1">
      <alignment horizontal="left" vertical="center"/>
    </xf>
    <xf numFmtId="0" fontId="62" fillId="19" borderId="28" xfId="1" applyFont="1" applyFill="1" applyBorder="1" applyAlignment="1">
      <alignment horizontal="left" vertical="center"/>
    </xf>
    <xf numFmtId="0" fontId="62" fillId="0" borderId="28" xfId="1" applyFont="1" applyFill="1" applyBorder="1" applyAlignment="1">
      <alignment horizontal="left" vertical="center"/>
    </xf>
    <xf numFmtId="0" fontId="62" fillId="19" borderId="53" xfId="1" applyFont="1" applyFill="1" applyBorder="1" applyAlignment="1">
      <alignment horizontal="left" vertical="center"/>
    </xf>
    <xf numFmtId="0" fontId="63" fillId="0" borderId="28" xfId="1" applyFont="1" applyFill="1" applyBorder="1" applyAlignment="1">
      <alignment horizontal="left" vertical="center"/>
    </xf>
    <xf numFmtId="0" fontId="75" fillId="0" borderId="28" xfId="1" applyFont="1" applyFill="1" applyBorder="1" applyAlignment="1">
      <alignment horizontal="left" vertical="center"/>
    </xf>
    <xf numFmtId="168" fontId="66" fillId="0" borderId="28" xfId="3" applyNumberFormat="1" applyFont="1" applyFill="1" applyBorder="1" applyAlignment="1">
      <alignment horizontal="left" vertical="center"/>
    </xf>
    <xf numFmtId="37" fontId="63" fillId="0" borderId="28" xfId="3" applyNumberFormat="1" applyFont="1" applyFill="1" applyBorder="1" applyAlignment="1">
      <alignment horizontal="right" vertical="center"/>
    </xf>
    <xf numFmtId="168" fontId="66" fillId="0" borderId="56" xfId="3" applyNumberFormat="1" applyFont="1" applyFill="1" applyBorder="1" applyAlignment="1">
      <alignment horizontal="left" vertical="center"/>
    </xf>
    <xf numFmtId="168" fontId="66" fillId="0" borderId="53" xfId="3" applyNumberFormat="1" applyFont="1" applyFill="1" applyBorder="1" applyAlignment="1">
      <alignment horizontal="left" vertical="center"/>
    </xf>
    <xf numFmtId="37" fontId="71" fillId="0" borderId="28" xfId="3" applyNumberFormat="1" applyFont="1" applyFill="1" applyBorder="1" applyAlignment="1">
      <alignment horizontal="right" vertical="center"/>
    </xf>
    <xf numFmtId="168" fontId="66" fillId="0" borderId="49" xfId="3" applyNumberFormat="1" applyFont="1" applyFill="1" applyBorder="1" applyAlignment="1">
      <alignment horizontal="left" vertical="center"/>
    </xf>
    <xf numFmtId="0" fontId="65" fillId="0" borderId="28" xfId="1" applyFont="1" applyFill="1" applyBorder="1" applyAlignment="1">
      <alignment horizontal="left" vertical="center"/>
    </xf>
    <xf numFmtId="168" fontId="66" fillId="19" borderId="61" xfId="3" applyNumberFormat="1" applyFont="1" applyFill="1" applyBorder="1" applyAlignment="1">
      <alignment horizontal="left" vertical="center"/>
    </xf>
    <xf numFmtId="168" fontId="66" fillId="19" borderId="65" xfId="3" applyNumberFormat="1" applyFont="1" applyFill="1" applyBorder="1" applyAlignment="1">
      <alignment horizontal="left" vertical="center"/>
    </xf>
    <xf numFmtId="0" fontId="69" fillId="0" borderId="28" xfId="1" applyFont="1" applyFill="1" applyBorder="1" applyAlignment="1">
      <alignment horizontal="left" vertical="center"/>
    </xf>
    <xf numFmtId="166" fontId="65" fillId="0" borderId="28" xfId="1" applyNumberFormat="1" applyFont="1" applyBorder="1" applyAlignment="1">
      <alignment horizontal="left" vertical="center"/>
    </xf>
    <xf numFmtId="0" fontId="59" fillId="0" borderId="28" xfId="1" applyFont="1" applyBorder="1" applyAlignment="1">
      <alignment horizontal="left" vertical="center"/>
    </xf>
    <xf numFmtId="9" fontId="65" fillId="0" borderId="28" xfId="7" applyFont="1" applyBorder="1" applyAlignment="1">
      <alignment horizontal="left" vertical="center"/>
    </xf>
    <xf numFmtId="166" fontId="62" fillId="0" borderId="28" xfId="1" applyNumberFormat="1" applyFont="1" applyBorder="1" applyAlignment="1">
      <alignment horizontal="left" vertical="center"/>
    </xf>
    <xf numFmtId="0" fontId="68" fillId="0" borderId="28" xfId="1" applyFont="1" applyBorder="1" applyAlignment="1">
      <alignment horizontal="left" vertical="center"/>
    </xf>
    <xf numFmtId="0" fontId="62" fillId="0" borderId="28" xfId="1" applyFont="1" applyBorder="1" applyAlignment="1">
      <alignment horizontal="left" vertical="center"/>
    </xf>
    <xf numFmtId="0" fontId="62" fillId="0" borderId="28" xfId="1" applyFont="1" applyAlignment="1">
      <alignment horizontal="left" vertical="center"/>
    </xf>
    <xf numFmtId="166" fontId="59" fillId="0" borderId="28" xfId="2" applyNumberFormat="1" applyFont="1" applyFill="1" applyBorder="1" applyAlignment="1">
      <alignment horizontal="left" vertical="center"/>
    </xf>
    <xf numFmtId="166" fontId="68" fillId="0" borderId="28" xfId="2" applyNumberFormat="1" applyFont="1" applyBorder="1" applyAlignment="1">
      <alignment horizontal="left" vertical="center"/>
    </xf>
    <xf numFmtId="166" fontId="65" fillId="21" borderId="28" xfId="2" applyNumberFormat="1" applyFont="1" applyFill="1" applyBorder="1" applyAlignment="1">
      <alignment horizontal="left" vertical="center"/>
    </xf>
    <xf numFmtId="0" fontId="65" fillId="27" borderId="28" xfId="1" applyFont="1" applyFill="1" applyBorder="1" applyAlignment="1">
      <alignment horizontal="left" vertical="center"/>
    </xf>
    <xf numFmtId="166" fontId="62" fillId="24" borderId="28" xfId="1" applyNumberFormat="1" applyFont="1" applyFill="1" applyBorder="1" applyAlignment="1">
      <alignment horizontal="left" vertical="center"/>
    </xf>
    <xf numFmtId="0" fontId="62" fillId="0" borderId="49" xfId="1" applyFont="1" applyFill="1" applyBorder="1" applyAlignment="1">
      <alignment horizontal="left" vertical="center"/>
    </xf>
    <xf numFmtId="0" fontId="65" fillId="0" borderId="49" xfId="1" applyFont="1" applyBorder="1" applyAlignment="1">
      <alignment horizontal="left" vertical="center"/>
    </xf>
    <xf numFmtId="0" fontId="77" fillId="0" borderId="28" xfId="1" applyFont="1" applyBorder="1" applyAlignment="1">
      <alignment horizontal="left" vertical="center"/>
    </xf>
    <xf numFmtId="0" fontId="69" fillId="0" borderId="28" xfId="1" applyFont="1" applyBorder="1" applyAlignment="1">
      <alignment horizontal="left" vertical="center"/>
    </xf>
    <xf numFmtId="0" fontId="59" fillId="0" borderId="28" xfId="1" applyFont="1" applyAlignment="1">
      <alignment horizontal="left" vertical="center"/>
    </xf>
    <xf numFmtId="0" fontId="59" fillId="0" borderId="28" xfId="1" applyFont="1" applyBorder="1" applyAlignment="1">
      <alignment horizontal="left" vertical="center" wrapText="1"/>
    </xf>
    <xf numFmtId="0" fontId="65" fillId="0" borderId="49" xfId="1" applyFont="1" applyBorder="1" applyAlignment="1">
      <alignment horizontal="left" vertical="center" indent="1"/>
    </xf>
    <xf numFmtId="166" fontId="64" fillId="0" borderId="28" xfId="2" applyNumberFormat="1" applyFont="1" applyFill="1" applyBorder="1" applyAlignment="1">
      <alignment horizontal="left" vertical="center"/>
    </xf>
    <xf numFmtId="166" fontId="65" fillId="21" borderId="56" xfId="2" applyNumberFormat="1" applyFont="1" applyFill="1" applyBorder="1" applyAlignment="1">
      <alignment horizontal="left" vertical="center"/>
    </xf>
    <xf numFmtId="0" fontId="59" fillId="0" borderId="0" xfId="0" applyFont="1" applyAlignment="1">
      <alignment horizontal="left" vertical="center"/>
    </xf>
    <xf numFmtId="166" fontId="77" fillId="0" borderId="28" xfId="2" applyNumberFormat="1" applyFont="1" applyBorder="1" applyAlignment="1">
      <alignment horizontal="left" vertical="center"/>
    </xf>
    <xf numFmtId="166" fontId="69" fillId="0" borderId="28" xfId="2" applyNumberFormat="1" applyFont="1" applyBorder="1" applyAlignment="1">
      <alignment horizontal="left" vertical="center"/>
    </xf>
    <xf numFmtId="166" fontId="69" fillId="0" borderId="28" xfId="2" applyNumberFormat="1" applyFont="1" applyFill="1" applyBorder="1" applyAlignment="1">
      <alignment horizontal="left" vertical="center"/>
    </xf>
    <xf numFmtId="166" fontId="69" fillId="0" borderId="63" xfId="2" applyNumberFormat="1" applyFont="1" applyBorder="1" applyAlignment="1">
      <alignment horizontal="left" vertical="center"/>
    </xf>
    <xf numFmtId="166" fontId="69" fillId="0" borderId="53" xfId="2" applyNumberFormat="1" applyFont="1" applyBorder="1" applyAlignment="1">
      <alignment horizontal="left" vertical="center"/>
    </xf>
    <xf numFmtId="0" fontId="80" fillId="0" borderId="28" xfId="1" applyFont="1" applyBorder="1" applyAlignment="1">
      <alignment horizontal="left" vertical="center"/>
    </xf>
    <xf numFmtId="0" fontId="69" fillId="19" borderId="61" xfId="1" applyFont="1" applyFill="1" applyBorder="1" applyAlignment="1">
      <alignment horizontal="left" vertical="center"/>
    </xf>
    <xf numFmtId="166" fontId="62" fillId="19" borderId="61" xfId="2" applyNumberFormat="1" applyFont="1" applyFill="1" applyBorder="1" applyAlignment="1">
      <alignment horizontal="left" vertical="center"/>
    </xf>
    <xf numFmtId="166" fontId="77" fillId="0" borderId="28" xfId="2" applyNumberFormat="1" applyFont="1" applyFill="1" applyBorder="1" applyAlignment="1">
      <alignment horizontal="left" vertical="center"/>
    </xf>
    <xf numFmtId="166" fontId="66" fillId="0" borderId="53" xfId="2" applyNumberFormat="1" applyFont="1" applyBorder="1" applyAlignment="1">
      <alignment horizontal="left" vertical="center"/>
    </xf>
    <xf numFmtId="164" fontId="59" fillId="0" borderId="28" xfId="1" applyNumberFormat="1" applyFont="1" applyBorder="1" applyAlignment="1">
      <alignment horizontal="left" vertical="center"/>
    </xf>
    <xf numFmtId="9" fontId="59" fillId="0" borderId="28" xfId="7" applyFont="1" applyBorder="1" applyAlignment="1">
      <alignment horizontal="left" vertical="center" wrapText="1"/>
    </xf>
    <xf numFmtId="166" fontId="66" fillId="0" borderId="53" xfId="2" applyNumberFormat="1" applyFont="1" applyFill="1" applyBorder="1" applyAlignment="1">
      <alignment horizontal="left" vertical="center"/>
    </xf>
    <xf numFmtId="164" fontId="59" fillId="0" borderId="28" xfId="1" applyNumberFormat="1" applyFont="1" applyBorder="1" applyAlignment="1">
      <alignment horizontal="left" vertical="center" wrapText="1"/>
    </xf>
    <xf numFmtId="166" fontId="63" fillId="0" borderId="28" xfId="2" applyNumberFormat="1" applyFont="1" applyBorder="1" applyAlignment="1">
      <alignment horizontal="left" vertical="center"/>
    </xf>
    <xf numFmtId="166" fontId="66" fillId="0" borderId="28" xfId="2" applyNumberFormat="1" applyFont="1" applyBorder="1" applyAlignment="1">
      <alignment horizontal="left" vertical="center"/>
    </xf>
    <xf numFmtId="0" fontId="63" fillId="0" borderId="28" xfId="1" applyFont="1" applyBorder="1" applyAlignment="1">
      <alignment horizontal="left" vertical="center"/>
    </xf>
    <xf numFmtId="166" fontId="62" fillId="19" borderId="65" xfId="2" applyNumberFormat="1" applyFont="1" applyFill="1" applyBorder="1" applyAlignment="1">
      <alignment horizontal="left" vertical="center"/>
    </xf>
    <xf numFmtId="166" fontId="58" fillId="0" borderId="28" xfId="2" applyNumberFormat="1" applyFont="1" applyBorder="1" applyAlignment="1">
      <alignment horizontal="left" vertical="center"/>
    </xf>
    <xf numFmtId="166" fontId="58" fillId="0" borderId="53" xfId="2" applyNumberFormat="1" applyFont="1" applyBorder="1" applyAlignment="1">
      <alignment horizontal="left" vertical="center"/>
    </xf>
    <xf numFmtId="166" fontId="58" fillId="0" borderId="28" xfId="2" applyNumberFormat="1" applyFont="1" applyFill="1" applyAlignment="1">
      <alignment horizontal="left" vertical="center"/>
    </xf>
    <xf numFmtId="166" fontId="63" fillId="0" borderId="53" xfId="2" applyNumberFormat="1" applyFont="1" applyFill="1" applyBorder="1" applyAlignment="1">
      <alignment horizontal="left" vertical="center"/>
    </xf>
    <xf numFmtId="166" fontId="63" fillId="0" borderId="28" xfId="2" applyNumberFormat="1" applyFont="1" applyFill="1" applyAlignment="1">
      <alignment horizontal="left" vertical="center"/>
    </xf>
    <xf numFmtId="166" fontId="69" fillId="0" borderId="28" xfId="2" applyNumberFormat="1" applyFont="1" applyFill="1" applyAlignment="1">
      <alignment horizontal="left" vertical="center"/>
    </xf>
    <xf numFmtId="0" fontId="65" fillId="22" borderId="28" xfId="1" applyFont="1" applyFill="1" applyBorder="1" applyAlignment="1">
      <alignment horizontal="left" vertical="center"/>
    </xf>
    <xf numFmtId="166" fontId="62" fillId="22" borderId="61" xfId="2" applyNumberFormat="1" applyFont="1" applyFill="1" applyBorder="1" applyAlignment="1">
      <alignment horizontal="left" vertical="center"/>
    </xf>
    <xf numFmtId="0" fontId="65" fillId="0" borderId="28" xfId="1" applyFont="1" applyFill="1" applyAlignment="1">
      <alignment horizontal="left" vertical="center"/>
    </xf>
    <xf numFmtId="0" fontId="65" fillId="23" borderId="67" xfId="1" applyFont="1" applyFill="1" applyBorder="1" applyAlignment="1">
      <alignment horizontal="left" vertical="center"/>
    </xf>
    <xf numFmtId="166" fontId="62" fillId="23" borderId="67" xfId="1" applyNumberFormat="1" applyFont="1" applyFill="1" applyBorder="1" applyAlignment="1">
      <alignment horizontal="left" vertical="center"/>
    </xf>
    <xf numFmtId="166" fontId="62" fillId="24" borderId="67" xfId="1" applyNumberFormat="1" applyFont="1" applyFill="1" applyBorder="1" applyAlignment="1">
      <alignment horizontal="left" vertical="center"/>
    </xf>
    <xf numFmtId="166" fontId="62" fillId="23" borderId="68" xfId="1" applyNumberFormat="1" applyFont="1" applyFill="1" applyBorder="1" applyAlignment="1">
      <alignment horizontal="left" vertical="center"/>
    </xf>
    <xf numFmtId="166" fontId="65" fillId="0" borderId="28" xfId="1" applyNumberFormat="1" applyFont="1" applyFill="1" applyAlignment="1">
      <alignment horizontal="left" vertical="center"/>
    </xf>
    <xf numFmtId="166" fontId="63" fillId="20" borderId="49" xfId="2" applyNumberFormat="1" applyFont="1" applyFill="1" applyBorder="1" applyAlignment="1">
      <alignment horizontal="left" vertical="center"/>
    </xf>
    <xf numFmtId="166" fontId="65" fillId="0" borderId="28" xfId="1" applyNumberFormat="1" applyFont="1" applyFill="1" applyBorder="1" applyAlignment="1">
      <alignment horizontal="left" vertical="center"/>
    </xf>
    <xf numFmtId="166" fontId="65" fillId="0" borderId="28" xfId="1" applyNumberFormat="1" applyFont="1" applyAlignment="1">
      <alignment horizontal="left" vertical="center"/>
    </xf>
    <xf numFmtId="0" fontId="65" fillId="0" borderId="44" xfId="1" applyFont="1" applyBorder="1" applyAlignment="1">
      <alignment horizontal="left" vertical="center"/>
    </xf>
    <xf numFmtId="166" fontId="65" fillId="0" borderId="44" xfId="1" applyNumberFormat="1" applyFont="1" applyBorder="1" applyAlignment="1">
      <alignment horizontal="left" vertical="center"/>
    </xf>
    <xf numFmtId="166" fontId="65" fillId="0" borderId="48" xfId="1" applyNumberFormat="1" applyFont="1" applyBorder="1" applyAlignment="1">
      <alignment horizontal="left" vertical="center"/>
    </xf>
    <xf numFmtId="166" fontId="65" fillId="0" borderId="53" xfId="1" applyNumberFormat="1" applyFont="1" applyBorder="1" applyAlignment="1">
      <alignment horizontal="left" vertical="center"/>
    </xf>
    <xf numFmtId="0" fontId="62" fillId="0" borderId="66" xfId="1" applyFont="1" applyBorder="1" applyAlignment="1">
      <alignment horizontal="left" vertical="center"/>
    </xf>
    <xf numFmtId="0" fontId="65" fillId="0" borderId="67" xfId="1" applyFont="1" applyBorder="1" applyAlignment="1">
      <alignment horizontal="left" vertical="center"/>
    </xf>
    <xf numFmtId="0" fontId="65" fillId="0" borderId="68" xfId="1" applyFont="1" applyBorder="1" applyAlignment="1">
      <alignment horizontal="left" vertical="center"/>
    </xf>
    <xf numFmtId="0" fontId="62" fillId="0" borderId="43" xfId="1" applyFont="1" applyBorder="1" applyAlignment="1">
      <alignment horizontal="left" vertical="center"/>
    </xf>
    <xf numFmtId="0" fontId="65" fillId="0" borderId="44" xfId="1" applyFont="1" applyFill="1" applyBorder="1" applyAlignment="1">
      <alignment horizontal="left" vertical="center"/>
    </xf>
    <xf numFmtId="0" fontId="65" fillId="0" borderId="48" xfId="1" applyFont="1" applyFill="1" applyBorder="1" applyAlignment="1">
      <alignment horizontal="left" vertical="center"/>
    </xf>
    <xf numFmtId="0" fontId="65" fillId="0" borderId="48" xfId="1" applyFont="1" applyBorder="1" applyAlignment="1">
      <alignment horizontal="left" vertical="center"/>
    </xf>
    <xf numFmtId="0" fontId="69" fillId="0" borderId="66" xfId="1" applyFont="1" applyBorder="1" applyAlignment="1">
      <alignment horizontal="left" vertical="center"/>
    </xf>
    <xf numFmtId="166" fontId="65" fillId="0" borderId="67" xfId="2" applyNumberFormat="1" applyFont="1" applyBorder="1" applyAlignment="1">
      <alignment horizontal="left" vertical="center"/>
    </xf>
    <xf numFmtId="0" fontId="62" fillId="0" borderId="67" xfId="1" applyFont="1" applyBorder="1" applyAlignment="1">
      <alignment horizontal="left" vertical="center"/>
    </xf>
    <xf numFmtId="166" fontId="66" fillId="0" borderId="67" xfId="2" applyNumberFormat="1" applyFont="1" applyFill="1" applyBorder="1" applyAlignment="1">
      <alignment horizontal="left" vertical="center"/>
    </xf>
    <xf numFmtId="166" fontId="62" fillId="0" borderId="68" xfId="2" applyNumberFormat="1" applyFont="1" applyFill="1" applyBorder="1" applyAlignment="1">
      <alignment horizontal="left" vertical="center"/>
    </xf>
    <xf numFmtId="166" fontId="65" fillId="0" borderId="67" xfId="2" applyNumberFormat="1" applyFont="1" applyFill="1" applyBorder="1" applyAlignment="1">
      <alignment horizontal="left" vertical="center"/>
    </xf>
    <xf numFmtId="0" fontId="63" fillId="0" borderId="0" xfId="0" applyFont="1" applyAlignment="1">
      <alignment horizontal="left" vertical="center"/>
    </xf>
    <xf numFmtId="0" fontId="68" fillId="0" borderId="28" xfId="1" applyFont="1" applyAlignment="1">
      <alignment horizontal="left" vertical="center"/>
    </xf>
    <xf numFmtId="166" fontId="62" fillId="0" borderId="28" xfId="1" applyNumberFormat="1" applyFont="1" applyFill="1" applyBorder="1" applyAlignment="1">
      <alignment horizontal="left" vertical="center"/>
    </xf>
    <xf numFmtId="0" fontId="62" fillId="30" borderId="28" xfId="1" applyFont="1" applyFill="1" applyBorder="1" applyAlignment="1">
      <alignment horizontal="center" vertical="center"/>
    </xf>
    <xf numFmtId="0" fontId="62" fillId="30" borderId="28" xfId="1" applyFont="1" applyFill="1" applyBorder="1" applyAlignment="1">
      <alignment horizontal="left" vertical="center"/>
    </xf>
    <xf numFmtId="166" fontId="62" fillId="30" borderId="28" xfId="1" applyNumberFormat="1" applyFont="1" applyFill="1" applyBorder="1" applyAlignment="1">
      <alignment horizontal="left" vertical="center"/>
    </xf>
    <xf numFmtId="166" fontId="63" fillId="30" borderId="28" xfId="2" applyNumberFormat="1" applyFont="1" applyFill="1" applyBorder="1" applyAlignment="1">
      <alignment horizontal="left" vertical="center"/>
    </xf>
    <xf numFmtId="166" fontId="65" fillId="30" borderId="28" xfId="2" applyNumberFormat="1" applyFont="1" applyFill="1" applyBorder="1" applyAlignment="1">
      <alignment horizontal="left" vertical="center"/>
    </xf>
    <xf numFmtId="166" fontId="69" fillId="30" borderId="28" xfId="2" applyNumberFormat="1" applyFont="1" applyFill="1" applyBorder="1" applyAlignment="1">
      <alignment horizontal="left" vertical="center"/>
    </xf>
    <xf numFmtId="166" fontId="62" fillId="30" borderId="28" xfId="2" applyNumberFormat="1" applyFont="1" applyFill="1" applyBorder="1" applyAlignment="1">
      <alignment horizontal="left" vertical="center"/>
    </xf>
    <xf numFmtId="166" fontId="62" fillId="30" borderId="67" xfId="1" applyNumberFormat="1" applyFont="1" applyFill="1" applyBorder="1" applyAlignment="1">
      <alignment horizontal="left" vertical="center"/>
    </xf>
    <xf numFmtId="0" fontId="65" fillId="30" borderId="28" xfId="1" applyFont="1" applyFill="1" applyBorder="1" applyAlignment="1">
      <alignment horizontal="left" vertical="center"/>
    </xf>
    <xf numFmtId="166" fontId="65" fillId="30" borderId="44" xfId="2" applyNumberFormat="1" applyFont="1" applyFill="1" applyBorder="1" applyAlignment="1">
      <alignment horizontal="left" vertical="center"/>
    </xf>
    <xf numFmtId="166" fontId="70" fillId="30" borderId="28" xfId="2" applyNumberFormat="1" applyFont="1" applyFill="1" applyBorder="1" applyAlignment="1">
      <alignment horizontal="left" vertical="center"/>
    </xf>
    <xf numFmtId="166" fontId="72" fillId="30" borderId="28" xfId="2" applyNumberFormat="1" applyFont="1" applyFill="1" applyBorder="1" applyAlignment="1">
      <alignment horizontal="left" vertical="center"/>
    </xf>
    <xf numFmtId="0" fontId="65" fillId="30" borderId="28" xfId="1" applyFont="1" applyFill="1" applyAlignment="1">
      <alignment horizontal="left" vertical="center"/>
    </xf>
    <xf numFmtId="42" fontId="70" fillId="0" borderId="28" xfId="1" applyNumberFormat="1" applyFont="1" applyBorder="1" applyAlignment="1">
      <alignment horizontal="right" vertical="center"/>
    </xf>
    <xf numFmtId="166" fontId="65" fillId="0" borderId="49" xfId="1" applyNumberFormat="1" applyFont="1" applyBorder="1" applyAlignment="1">
      <alignment horizontal="left" vertical="center"/>
    </xf>
    <xf numFmtId="166" fontId="62" fillId="0" borderId="49" xfId="1" applyNumberFormat="1" applyFont="1" applyFill="1" applyBorder="1" applyAlignment="1">
      <alignment horizontal="left" vertical="center"/>
    </xf>
    <xf numFmtId="166" fontId="63" fillId="0" borderId="49" xfId="2" applyNumberFormat="1" applyFont="1" applyFill="1" applyBorder="1" applyAlignment="1">
      <alignment horizontal="left" vertical="center"/>
    </xf>
    <xf numFmtId="166" fontId="65" fillId="0" borderId="49" xfId="2" applyNumberFormat="1" applyFont="1" applyBorder="1" applyAlignment="1">
      <alignment horizontal="left" vertical="center"/>
    </xf>
    <xf numFmtId="166" fontId="65" fillId="0" borderId="49" xfId="2" applyNumberFormat="1" applyFont="1" applyFill="1" applyBorder="1" applyAlignment="1">
      <alignment horizontal="left" vertical="center"/>
    </xf>
    <xf numFmtId="166" fontId="62" fillId="0" borderId="49" xfId="1" applyNumberFormat="1" applyFont="1" applyBorder="1" applyAlignment="1">
      <alignment horizontal="left" vertical="center"/>
    </xf>
    <xf numFmtId="0" fontId="62" fillId="0" borderId="85" xfId="1" applyFont="1" applyFill="1" applyBorder="1" applyAlignment="1">
      <alignment horizontal="left" vertical="center"/>
    </xf>
    <xf numFmtId="37" fontId="63" fillId="0" borderId="85" xfId="3" applyNumberFormat="1" applyFont="1" applyFill="1" applyBorder="1" applyAlignment="1">
      <alignment horizontal="right" vertical="center"/>
    </xf>
    <xf numFmtId="168" fontId="66" fillId="0" borderId="85" xfId="3" applyNumberFormat="1" applyFont="1" applyFill="1" applyBorder="1" applyAlignment="1">
      <alignment horizontal="left" vertical="center"/>
    </xf>
    <xf numFmtId="166" fontId="65" fillId="0" borderId="85" xfId="1" applyNumberFormat="1" applyFont="1" applyBorder="1" applyAlignment="1">
      <alignment horizontal="left" vertical="center"/>
    </xf>
    <xf numFmtId="42" fontId="70" fillId="0" borderId="85" xfId="1" applyNumberFormat="1" applyFont="1" applyBorder="1" applyAlignment="1">
      <alignment horizontal="right" vertical="center"/>
    </xf>
    <xf numFmtId="166" fontId="63" fillId="0" borderId="85" xfId="2" applyNumberFormat="1" applyFont="1" applyFill="1" applyBorder="1" applyAlignment="1">
      <alignment horizontal="left" vertical="center"/>
    </xf>
    <xf numFmtId="0" fontId="73" fillId="30" borderId="28" xfId="1" applyFont="1" applyFill="1" applyBorder="1" applyAlignment="1">
      <alignment horizontal="left" vertical="center"/>
    </xf>
    <xf numFmtId="166" fontId="65" fillId="30" borderId="43" xfId="2" applyNumberFormat="1" applyFont="1" applyFill="1" applyBorder="1" applyAlignment="1">
      <alignment horizontal="left" vertical="center"/>
    </xf>
    <xf numFmtId="166" fontId="65" fillId="30" borderId="71" xfId="2" applyNumberFormat="1" applyFont="1" applyFill="1" applyBorder="1" applyAlignment="1">
      <alignment horizontal="left" vertical="center"/>
    </xf>
    <xf numFmtId="166" fontId="65" fillId="30" borderId="48" xfId="2" applyNumberFormat="1" applyFont="1" applyFill="1" applyBorder="1" applyAlignment="1">
      <alignment horizontal="left" vertical="center"/>
    </xf>
    <xf numFmtId="0" fontId="59" fillId="30" borderId="28" xfId="1" applyFont="1" applyFill="1" applyBorder="1" applyAlignment="1">
      <alignment horizontal="left" vertical="center"/>
    </xf>
    <xf numFmtId="166" fontId="65" fillId="30" borderId="49" xfId="2" applyNumberFormat="1" applyFont="1" applyFill="1" applyBorder="1" applyAlignment="1">
      <alignment horizontal="left" vertical="center"/>
    </xf>
    <xf numFmtId="166" fontId="65" fillId="30" borderId="63" xfId="2" applyNumberFormat="1" applyFont="1" applyFill="1" applyBorder="1" applyAlignment="1">
      <alignment horizontal="left" vertical="center"/>
    </xf>
    <xf numFmtId="166" fontId="65" fillId="30" borderId="53" xfId="2" applyNumberFormat="1" applyFont="1" applyFill="1" applyBorder="1" applyAlignment="1">
      <alignment horizontal="left" vertical="center"/>
    </xf>
    <xf numFmtId="166" fontId="65" fillId="30" borderId="72" xfId="2" applyNumberFormat="1" applyFont="1" applyFill="1" applyBorder="1" applyAlignment="1">
      <alignment horizontal="left" vertical="center"/>
    </xf>
    <xf numFmtId="166" fontId="71" fillId="30" borderId="28" xfId="2" applyNumberFormat="1" applyFont="1" applyFill="1" applyBorder="1" applyAlignment="1">
      <alignment horizontal="left" vertical="center"/>
    </xf>
    <xf numFmtId="0" fontId="68" fillId="30" borderId="28" xfId="1" applyFont="1" applyFill="1" applyBorder="1" applyAlignment="1">
      <alignment horizontal="left" vertical="center"/>
    </xf>
    <xf numFmtId="166" fontId="69" fillId="30" borderId="49" xfId="2" applyNumberFormat="1" applyFont="1" applyFill="1" applyBorder="1" applyAlignment="1">
      <alignment horizontal="left" vertical="center"/>
    </xf>
    <xf numFmtId="166" fontId="69" fillId="30" borderId="63" xfId="2" applyNumberFormat="1" applyFont="1" applyFill="1" applyBorder="1" applyAlignment="1">
      <alignment horizontal="left" vertical="center"/>
    </xf>
    <xf numFmtId="166" fontId="69" fillId="30" borderId="53" xfId="2" applyNumberFormat="1" applyFont="1" applyFill="1" applyBorder="1" applyAlignment="1">
      <alignment horizontal="left" vertical="center"/>
    </xf>
    <xf numFmtId="0" fontId="58" fillId="30" borderId="0" xfId="0" applyFont="1" applyFill="1" applyAlignment="1">
      <alignment horizontal="left" vertical="center"/>
    </xf>
    <xf numFmtId="166" fontId="63" fillId="30" borderId="49" xfId="2" applyNumberFormat="1" applyFont="1" applyFill="1" applyBorder="1" applyAlignment="1">
      <alignment horizontal="left" vertical="center"/>
    </xf>
    <xf numFmtId="166" fontId="63" fillId="30" borderId="63" xfId="2" applyNumberFormat="1" applyFont="1" applyFill="1" applyBorder="1" applyAlignment="1">
      <alignment horizontal="left" vertical="center"/>
    </xf>
    <xf numFmtId="166" fontId="63" fillId="30" borderId="53" xfId="2" applyNumberFormat="1" applyFont="1" applyFill="1" applyBorder="1" applyAlignment="1">
      <alignment horizontal="left" vertical="center"/>
    </xf>
    <xf numFmtId="0" fontId="59" fillId="30" borderId="28" xfId="1" applyFont="1" applyFill="1" applyBorder="1" applyAlignment="1">
      <alignment horizontal="left" vertical="center" wrapText="1"/>
    </xf>
    <xf numFmtId="166" fontId="59" fillId="30" borderId="28" xfId="2" applyNumberFormat="1" applyFont="1" applyFill="1" applyBorder="1" applyAlignment="1">
      <alignment horizontal="left" vertical="center"/>
    </xf>
    <xf numFmtId="166" fontId="62" fillId="30" borderId="66" xfId="1" applyNumberFormat="1" applyFont="1" applyFill="1" applyBorder="1" applyAlignment="1">
      <alignment horizontal="left" vertical="center"/>
    </xf>
    <xf numFmtId="166" fontId="62" fillId="30" borderId="73" xfId="1" applyNumberFormat="1" applyFont="1" applyFill="1" applyBorder="1" applyAlignment="1">
      <alignment horizontal="left" vertical="center"/>
    </xf>
    <xf numFmtId="166" fontId="62" fillId="30" borderId="68" xfId="1" applyNumberFormat="1" applyFont="1" applyFill="1" applyBorder="1" applyAlignment="1">
      <alignment horizontal="left" vertical="center"/>
    </xf>
    <xf numFmtId="166" fontId="62" fillId="30" borderId="28" xfId="1" applyNumberFormat="1" applyFont="1" applyFill="1" applyAlignment="1">
      <alignment horizontal="left" vertical="center"/>
    </xf>
    <xf numFmtId="0" fontId="81" fillId="0" borderId="28" xfId="1" applyFont="1" applyAlignment="1">
      <alignment horizontal="center" vertical="top"/>
    </xf>
    <xf numFmtId="0" fontId="62" fillId="19" borderId="85" xfId="1" applyFont="1" applyFill="1" applyBorder="1" applyAlignment="1">
      <alignment horizontal="center" vertical="center"/>
    </xf>
    <xf numFmtId="0" fontId="74" fillId="28" borderId="46" xfId="1" applyFont="1" applyFill="1" applyBorder="1" applyAlignment="1">
      <alignment horizontal="centerContinuous" vertical="center"/>
    </xf>
    <xf numFmtId="0" fontId="74" fillId="28" borderId="47" xfId="1" applyFont="1" applyFill="1" applyBorder="1" applyAlignment="1">
      <alignment horizontal="centerContinuous" vertical="center"/>
    </xf>
    <xf numFmtId="166" fontId="65" fillId="27" borderId="49" xfId="1" applyNumberFormat="1" applyFont="1" applyFill="1" applyBorder="1" applyAlignment="1">
      <alignment horizontal="left" vertical="center"/>
    </xf>
    <xf numFmtId="42" fontId="62" fillId="27" borderId="28" xfId="1" applyNumberFormat="1" applyFont="1" applyFill="1" applyBorder="1" applyAlignment="1">
      <alignment horizontal="right" vertical="center"/>
    </xf>
    <xf numFmtId="37" fontId="71" fillId="0" borderId="85" xfId="3" applyNumberFormat="1" applyFont="1" applyFill="1" applyBorder="1" applyAlignment="1">
      <alignment horizontal="right" vertical="center"/>
    </xf>
    <xf numFmtId="166" fontId="62" fillId="20" borderId="85" xfId="2" applyNumberFormat="1" applyFont="1" applyFill="1" applyBorder="1" applyAlignment="1">
      <alignment horizontal="left" vertical="center"/>
    </xf>
    <xf numFmtId="166" fontId="62" fillId="0" borderId="85" xfId="2" applyNumberFormat="1" applyFont="1" applyBorder="1" applyAlignment="1">
      <alignment horizontal="left" vertical="center"/>
    </xf>
    <xf numFmtId="9" fontId="64" fillId="0" borderId="85" xfId="4" applyFont="1" applyFill="1" applyBorder="1" applyAlignment="1">
      <alignment horizontal="left" vertical="center"/>
    </xf>
    <xf numFmtId="166" fontId="62" fillId="0" borderId="85" xfId="2" applyNumberFormat="1" applyFont="1" applyFill="1" applyBorder="1" applyAlignment="1">
      <alignment horizontal="left" vertical="center"/>
    </xf>
    <xf numFmtId="166" fontId="64" fillId="0" borderId="85" xfId="2" applyNumberFormat="1" applyFont="1" applyFill="1" applyBorder="1" applyAlignment="1">
      <alignment horizontal="left" vertical="center"/>
    </xf>
    <xf numFmtId="166" fontId="69" fillId="0" borderId="85" xfId="2" applyNumberFormat="1" applyFont="1" applyBorder="1" applyAlignment="1">
      <alignment horizontal="left" vertical="center"/>
    </xf>
    <xf numFmtId="166" fontId="62" fillId="19" borderId="87" xfId="2" applyNumberFormat="1" applyFont="1" applyFill="1" applyBorder="1" applyAlignment="1">
      <alignment horizontal="left" vertical="center"/>
    </xf>
    <xf numFmtId="166" fontId="77" fillId="0" borderId="85" xfId="2" applyNumberFormat="1" applyFont="1" applyFill="1" applyBorder="1" applyAlignment="1">
      <alignment horizontal="left" vertical="center"/>
    </xf>
    <xf numFmtId="166" fontId="58" fillId="0" borderId="85" xfId="2" applyNumberFormat="1" applyFont="1" applyBorder="1" applyAlignment="1">
      <alignment horizontal="left" vertical="center"/>
    </xf>
    <xf numFmtId="166" fontId="62" fillId="22" borderId="87" xfId="2" applyNumberFormat="1" applyFont="1" applyFill="1" applyBorder="1" applyAlignment="1">
      <alignment horizontal="left" vertical="center"/>
    </xf>
    <xf numFmtId="166" fontId="62" fillId="23" borderId="86" xfId="1" applyNumberFormat="1" applyFont="1" applyFill="1" applyBorder="1" applyAlignment="1">
      <alignment horizontal="left" vertical="center"/>
    </xf>
    <xf numFmtId="0" fontId="65" fillId="0" borderId="85" xfId="1" applyFont="1" applyBorder="1" applyAlignment="1">
      <alignment horizontal="left" vertical="center"/>
    </xf>
    <xf numFmtId="166" fontId="65" fillId="30" borderId="85" xfId="2" applyNumberFormat="1" applyFont="1" applyFill="1" applyBorder="1" applyAlignment="1">
      <alignment horizontal="left" vertical="center"/>
    </xf>
    <xf numFmtId="166" fontId="70" fillId="30" borderId="85" xfId="2" applyNumberFormat="1" applyFont="1" applyFill="1" applyBorder="1" applyAlignment="1">
      <alignment horizontal="left" vertical="center"/>
    </xf>
    <xf numFmtId="166" fontId="65" fillId="0" borderId="85" xfId="1" applyNumberFormat="1" applyFont="1" applyFill="1" applyBorder="1" applyAlignment="1">
      <alignment horizontal="left" vertical="center"/>
    </xf>
    <xf numFmtId="166" fontId="66" fillId="0" borderId="85" xfId="2" applyNumberFormat="1" applyFont="1" applyBorder="1" applyAlignment="1">
      <alignment horizontal="left" vertical="center"/>
    </xf>
    <xf numFmtId="166" fontId="62" fillId="24" borderId="86" xfId="1" applyNumberFormat="1" applyFont="1" applyFill="1" applyBorder="1" applyAlignment="1">
      <alignment horizontal="left" vertical="center"/>
    </xf>
    <xf numFmtId="170" fontId="65" fillId="0" borderId="85" xfId="1" applyNumberFormat="1" applyFont="1" applyBorder="1" applyAlignment="1">
      <alignment horizontal="left" vertical="center"/>
    </xf>
    <xf numFmtId="170" fontId="65" fillId="0" borderId="28" xfId="1" applyNumberFormat="1" applyFont="1" applyBorder="1" applyAlignment="1">
      <alignment horizontal="left" vertical="center"/>
    </xf>
    <xf numFmtId="170" fontId="62" fillId="0" borderId="85" xfId="1" applyNumberFormat="1" applyFont="1" applyFill="1" applyBorder="1" applyAlignment="1">
      <alignment horizontal="left" vertical="center"/>
    </xf>
    <xf numFmtId="170" fontId="62" fillId="0" borderId="28" xfId="1" applyNumberFormat="1" applyFont="1" applyFill="1" applyBorder="1" applyAlignment="1">
      <alignment horizontal="left" vertical="center"/>
    </xf>
    <xf numFmtId="170" fontId="63" fillId="0" borderId="85" xfId="2" applyNumberFormat="1" applyFont="1" applyFill="1" applyBorder="1" applyAlignment="1">
      <alignment horizontal="left" vertical="center"/>
    </xf>
    <xf numFmtId="170" fontId="63" fillId="0" borderId="28" xfId="2" applyNumberFormat="1" applyFont="1" applyFill="1" applyBorder="1" applyAlignment="1">
      <alignment horizontal="left" vertical="center"/>
    </xf>
    <xf numFmtId="170" fontId="65" fillId="0" borderId="85" xfId="2" applyNumberFormat="1" applyFont="1" applyBorder="1" applyAlignment="1">
      <alignment horizontal="left" vertical="center"/>
    </xf>
    <xf numFmtId="170" fontId="65" fillId="0" borderId="28" xfId="2" applyNumberFormat="1" applyFont="1" applyBorder="1" applyAlignment="1">
      <alignment horizontal="left" vertical="center"/>
    </xf>
    <xf numFmtId="170" fontId="65" fillId="30" borderId="85" xfId="2" applyNumberFormat="1" applyFont="1" applyFill="1" applyBorder="1" applyAlignment="1">
      <alignment horizontal="left" vertical="center"/>
    </xf>
    <xf numFmtId="170" fontId="65" fillId="30" borderId="28" xfId="2" applyNumberFormat="1" applyFont="1" applyFill="1" applyBorder="1" applyAlignment="1">
      <alignment horizontal="left" vertical="center"/>
    </xf>
    <xf numFmtId="170" fontId="63" fillId="30" borderId="85" xfId="2" applyNumberFormat="1" applyFont="1" applyFill="1" applyBorder="1" applyAlignment="1">
      <alignment horizontal="left" vertical="center"/>
    </xf>
    <xf numFmtId="170" fontId="63" fillId="30" borderId="28" xfId="2" applyNumberFormat="1" applyFont="1" applyFill="1" applyBorder="1" applyAlignment="1">
      <alignment horizontal="left" vertical="center"/>
    </xf>
    <xf numFmtId="170" fontId="72" fillId="30" borderId="85" xfId="2" applyNumberFormat="1" applyFont="1" applyFill="1" applyBorder="1" applyAlignment="1">
      <alignment horizontal="left" vertical="center"/>
    </xf>
    <xf numFmtId="170" fontId="72" fillId="30" borderId="28" xfId="2" applyNumberFormat="1" applyFont="1" applyFill="1" applyBorder="1" applyAlignment="1">
      <alignment horizontal="left" vertical="center"/>
    </xf>
    <xf numFmtId="170" fontId="62" fillId="30" borderId="85" xfId="1" applyNumberFormat="1" applyFont="1" applyFill="1" applyBorder="1" applyAlignment="1">
      <alignment horizontal="left" vertical="center"/>
    </xf>
    <xf numFmtId="170" fontId="62" fillId="30" borderId="28" xfId="1" applyNumberFormat="1" applyFont="1" applyFill="1" applyBorder="1" applyAlignment="1">
      <alignment horizontal="left" vertical="center"/>
    </xf>
    <xf numFmtId="0" fontId="0" fillId="0" borderId="28" xfId="0" applyFont="1" applyBorder="1" applyAlignment="1"/>
    <xf numFmtId="0" fontId="62" fillId="19" borderId="85" xfId="1" applyFont="1" applyFill="1" applyBorder="1" applyAlignment="1">
      <alignment horizontal="left" vertical="center"/>
    </xf>
    <xf numFmtId="0" fontId="62" fillId="19" borderId="49" xfId="1" applyFont="1" applyFill="1" applyBorder="1" applyAlignment="1">
      <alignment horizontal="left" vertical="center"/>
    </xf>
    <xf numFmtId="0" fontId="62" fillId="30" borderId="66" xfId="1" applyFont="1" applyFill="1" applyBorder="1" applyAlignment="1">
      <alignment horizontal="center" vertical="center"/>
    </xf>
    <xf numFmtId="0" fontId="62" fillId="30" borderId="67" xfId="1" applyFont="1" applyFill="1" applyBorder="1" applyAlignment="1">
      <alignment horizontal="center" vertical="center"/>
    </xf>
    <xf numFmtId="0" fontId="64" fillId="0" borderId="44" xfId="1" applyFont="1" applyBorder="1" applyAlignment="1">
      <alignment horizontal="left" vertical="center"/>
    </xf>
    <xf numFmtId="0" fontId="62" fillId="0" borderId="49" xfId="1" applyFont="1" applyFill="1" applyBorder="1" applyAlignment="1">
      <alignment horizontal="left" vertical="center" indent="1"/>
    </xf>
    <xf numFmtId="0" fontId="65" fillId="0" borderId="49" xfId="1" applyFont="1" applyBorder="1" applyAlignment="1">
      <alignment horizontal="left" vertical="center" indent="2"/>
    </xf>
    <xf numFmtId="0" fontId="62" fillId="0" borderId="49" xfId="1" applyFont="1" applyBorder="1" applyAlignment="1">
      <alignment horizontal="left" vertical="center" indent="1"/>
    </xf>
    <xf numFmtId="0" fontId="65" fillId="30" borderId="49" xfId="1" applyFont="1" applyFill="1" applyBorder="1" applyAlignment="1">
      <alignment horizontal="left" vertical="center" indent="2"/>
    </xf>
    <xf numFmtId="0" fontId="62" fillId="19" borderId="67" xfId="1" applyFont="1" applyFill="1" applyBorder="1" applyAlignment="1">
      <alignment horizontal="left" vertical="center"/>
    </xf>
    <xf numFmtId="166" fontId="62" fillId="19" borderId="67" xfId="1" applyNumberFormat="1" applyFont="1" applyFill="1" applyBorder="1" applyAlignment="1">
      <alignment horizontal="left" vertical="center"/>
    </xf>
    <xf numFmtId="170" fontId="62" fillId="19" borderId="86" xfId="1" applyNumberFormat="1" applyFont="1" applyFill="1" applyBorder="1" applyAlignment="1">
      <alignment horizontal="left" vertical="center"/>
    </xf>
    <xf numFmtId="170" fontId="62" fillId="19" borderId="67" xfId="1" applyNumberFormat="1" applyFont="1" applyFill="1" applyBorder="1" applyAlignment="1">
      <alignment horizontal="left" vertical="center"/>
    </xf>
    <xf numFmtId="166" fontId="62" fillId="0" borderId="49" xfId="2" applyNumberFormat="1" applyFont="1" applyBorder="1" applyAlignment="1">
      <alignment horizontal="left" vertical="center"/>
    </xf>
    <xf numFmtId="166" fontId="62" fillId="0" borderId="49" xfId="2" applyNumberFormat="1" applyFont="1" applyFill="1" applyBorder="1" applyAlignment="1">
      <alignment horizontal="left" vertical="center"/>
    </xf>
    <xf numFmtId="166" fontId="62" fillId="20" borderId="49" xfId="2" applyNumberFormat="1" applyFont="1" applyFill="1" applyBorder="1" applyAlignment="1">
      <alignment horizontal="left" vertical="center"/>
    </xf>
    <xf numFmtId="166" fontId="69" fillId="0" borderId="49" xfId="2" applyNumberFormat="1" applyFont="1" applyBorder="1" applyAlignment="1">
      <alignment horizontal="left" vertical="center"/>
    </xf>
    <xf numFmtId="166" fontId="62" fillId="19" borderId="64" xfId="2" applyNumberFormat="1" applyFont="1" applyFill="1" applyBorder="1" applyAlignment="1">
      <alignment horizontal="left" vertical="center"/>
    </xf>
    <xf numFmtId="166" fontId="66" fillId="0" borderId="49" xfId="2" applyNumberFormat="1" applyFont="1" applyFill="1" applyBorder="1" applyAlignment="1">
      <alignment horizontal="left" vertical="center"/>
    </xf>
    <xf numFmtId="166" fontId="68" fillId="0" borderId="49" xfId="5" applyNumberFormat="1" applyFont="1" applyFill="1" applyBorder="1" applyAlignment="1">
      <alignment horizontal="left" vertical="center"/>
    </xf>
    <xf numFmtId="166" fontId="68" fillId="0" borderId="49" xfId="2" applyNumberFormat="1" applyFont="1" applyFill="1" applyBorder="1" applyAlignment="1">
      <alignment horizontal="left" vertical="center"/>
    </xf>
    <xf numFmtId="166" fontId="58" fillId="0" borderId="49" xfId="2" applyNumberFormat="1" applyFont="1" applyBorder="1" applyAlignment="1">
      <alignment horizontal="left" vertical="center"/>
    </xf>
    <xf numFmtId="166" fontId="62" fillId="22" borderId="64" xfId="2" applyNumberFormat="1" applyFont="1" applyFill="1" applyBorder="1" applyAlignment="1">
      <alignment horizontal="left" vertical="center"/>
    </xf>
    <xf numFmtId="166" fontId="77" fillId="0" borderId="49" xfId="2" applyNumberFormat="1" applyFont="1" applyFill="1" applyBorder="1" applyAlignment="1">
      <alignment horizontal="left" vertical="center"/>
    </xf>
    <xf numFmtId="166" fontId="62" fillId="23" borderId="66" xfId="1" applyNumberFormat="1" applyFont="1" applyFill="1" applyBorder="1" applyAlignment="1">
      <alignment horizontal="left" vertical="center"/>
    </xf>
    <xf numFmtId="166" fontId="70" fillId="30" borderId="49" xfId="2" applyNumberFormat="1" applyFont="1" applyFill="1" applyBorder="1" applyAlignment="1">
      <alignment horizontal="left" vertical="center"/>
    </xf>
    <xf numFmtId="166" fontId="72" fillId="30" borderId="49" xfId="2" applyNumberFormat="1" applyFont="1" applyFill="1" applyBorder="1" applyAlignment="1">
      <alignment horizontal="left" vertical="center"/>
    </xf>
    <xf numFmtId="166" fontId="62" fillId="30" borderId="49" xfId="1" applyNumberFormat="1" applyFont="1" applyFill="1" applyBorder="1" applyAlignment="1">
      <alignment horizontal="left" vertical="center"/>
    </xf>
    <xf numFmtId="166" fontId="65" fillId="0" borderId="49" xfId="1" applyNumberFormat="1" applyFont="1" applyFill="1" applyBorder="1" applyAlignment="1">
      <alignment horizontal="left" vertical="center"/>
    </xf>
    <xf numFmtId="0" fontId="0" fillId="0" borderId="85" xfId="0" applyFont="1" applyBorder="1" applyAlignment="1"/>
    <xf numFmtId="170" fontId="65" fillId="30" borderId="49" xfId="2" applyNumberFormat="1" applyFont="1" applyFill="1" applyBorder="1" applyAlignment="1">
      <alignment horizontal="left" vertical="center"/>
    </xf>
    <xf numFmtId="166" fontId="76" fillId="0" borderId="28" xfId="1" applyNumberFormat="1" applyFont="1" applyFill="1" applyBorder="1" applyAlignment="1">
      <alignment horizontal="left" vertical="center"/>
    </xf>
    <xf numFmtId="166" fontId="76" fillId="0" borderId="85" xfId="1" applyNumberFormat="1" applyFont="1" applyFill="1" applyBorder="1" applyAlignment="1">
      <alignment horizontal="left" vertical="center"/>
    </xf>
    <xf numFmtId="170" fontId="76" fillId="0" borderId="28" xfId="1" applyNumberFormat="1" applyFont="1" applyFill="1" applyBorder="1" applyAlignment="1">
      <alignment horizontal="left" vertical="center"/>
    </xf>
    <xf numFmtId="170" fontId="76" fillId="0" borderId="85" xfId="1" applyNumberFormat="1" applyFont="1" applyFill="1" applyBorder="1" applyAlignment="1">
      <alignment horizontal="left" vertical="center"/>
    </xf>
    <xf numFmtId="0" fontId="62" fillId="0" borderId="84" xfId="1" applyFont="1" applyFill="1" applyBorder="1" applyAlignment="1">
      <alignment horizontal="center" vertical="center"/>
    </xf>
    <xf numFmtId="0" fontId="62" fillId="0" borderId="67" xfId="1" applyFont="1" applyFill="1" applyBorder="1" applyAlignment="1">
      <alignment horizontal="center" vertical="center"/>
    </xf>
    <xf numFmtId="170" fontId="62" fillId="0" borderId="28" xfId="1" applyNumberFormat="1" applyFont="1" applyBorder="1" applyAlignment="1">
      <alignment horizontal="left" vertical="center"/>
    </xf>
    <xf numFmtId="0" fontId="69" fillId="0" borderId="50" xfId="1" applyFont="1" applyFill="1" applyBorder="1" applyAlignment="1">
      <alignment horizontal="left" vertical="center"/>
    </xf>
    <xf numFmtId="168" fontId="66" fillId="0" borderId="52" xfId="3" applyNumberFormat="1" applyFont="1" applyFill="1" applyBorder="1" applyAlignment="1">
      <alignment horizontal="left" vertical="center"/>
    </xf>
    <xf numFmtId="37" fontId="66" fillId="0" borderId="50" xfId="3" applyNumberFormat="1" applyFont="1" applyFill="1" applyBorder="1" applyAlignment="1">
      <alignment horizontal="right" vertical="center"/>
    </xf>
    <xf numFmtId="37" fontId="66" fillId="0" borderId="54" xfId="3" applyNumberFormat="1" applyFont="1" applyFill="1" applyBorder="1" applyAlignment="1">
      <alignment horizontal="right" vertical="center"/>
    </xf>
    <xf numFmtId="170" fontId="62" fillId="27" borderId="85" xfId="1" applyNumberFormat="1" applyFont="1" applyFill="1" applyBorder="1" applyAlignment="1">
      <alignment horizontal="right" vertical="center"/>
    </xf>
    <xf numFmtId="170" fontId="62" fillId="27" borderId="28" xfId="1" applyNumberFormat="1" applyFont="1" applyFill="1" applyBorder="1" applyAlignment="1">
      <alignment horizontal="right" vertical="center"/>
    </xf>
    <xf numFmtId="0" fontId="65" fillId="0" borderId="43" xfId="1" applyFont="1" applyBorder="1" applyAlignment="1">
      <alignment horizontal="left" vertical="center" indent="1"/>
    </xf>
    <xf numFmtId="0" fontId="63" fillId="0" borderId="49" xfId="1" applyFont="1" applyFill="1" applyBorder="1" applyAlignment="1">
      <alignment horizontal="left" vertical="center" indent="2"/>
    </xf>
    <xf numFmtId="0" fontId="62" fillId="0" borderId="52" xfId="1" applyFont="1" applyFill="1" applyBorder="1" applyAlignment="1">
      <alignment horizontal="left" vertical="center" indent="1"/>
    </xf>
    <xf numFmtId="0" fontId="65" fillId="0" borderId="49" xfId="1" quotePrefix="1" applyFont="1" applyBorder="1" applyAlignment="1">
      <alignment horizontal="left" vertical="center" indent="3"/>
    </xf>
    <xf numFmtId="0" fontId="70" fillId="0" borderId="49" xfId="1" quotePrefix="1" applyFont="1" applyBorder="1" applyAlignment="1">
      <alignment horizontal="left" vertical="center" indent="3"/>
    </xf>
    <xf numFmtId="0" fontId="62" fillId="0" borderId="49" xfId="1" applyFont="1" applyFill="1" applyBorder="1" applyAlignment="1">
      <alignment horizontal="left" vertical="center" indent="2"/>
    </xf>
    <xf numFmtId="0" fontId="63" fillId="0" borderId="49" xfId="1" applyFont="1" applyBorder="1" applyAlignment="1">
      <alignment horizontal="left" vertical="center" indent="3"/>
    </xf>
    <xf numFmtId="0" fontId="65" fillId="0" borderId="49" xfId="1" applyFont="1" applyBorder="1" applyAlignment="1">
      <alignment horizontal="left" vertical="center" indent="3"/>
    </xf>
    <xf numFmtId="0" fontId="62" fillId="0" borderId="49" xfId="1" applyFont="1" applyBorder="1" applyAlignment="1">
      <alignment horizontal="left" vertical="center" indent="2"/>
    </xf>
    <xf numFmtId="0" fontId="62" fillId="27" borderId="49" xfId="1" applyFont="1" applyFill="1" applyBorder="1" applyAlignment="1">
      <alignment horizontal="left" vertical="center" indent="1"/>
    </xf>
    <xf numFmtId="0" fontId="70" fillId="0" borderId="49" xfId="1" applyFont="1" applyBorder="1" applyAlignment="1">
      <alignment horizontal="left" vertical="center" indent="1"/>
    </xf>
    <xf numFmtId="0" fontId="78" fillId="0" borderId="49" xfId="1" applyFont="1" applyBorder="1" applyAlignment="1">
      <alignment horizontal="left" vertical="center" indent="2"/>
    </xf>
    <xf numFmtId="0" fontId="77" fillId="0" borderId="49" xfId="1" applyFont="1" applyBorder="1" applyAlignment="1">
      <alignment horizontal="left" vertical="center" indent="2"/>
    </xf>
    <xf numFmtId="0" fontId="69" fillId="0" borderId="49" xfId="1" applyFont="1" applyBorder="1" applyAlignment="1">
      <alignment horizontal="left" vertical="center" indent="1"/>
    </xf>
    <xf numFmtId="0" fontId="62" fillId="19" borderId="64" xfId="1" applyFont="1" applyFill="1" applyBorder="1" applyAlignment="1">
      <alignment horizontal="left" vertical="center" indent="1"/>
    </xf>
    <xf numFmtId="0" fontId="77" fillId="0" borderId="49" xfId="1" applyFont="1" applyFill="1" applyBorder="1" applyAlignment="1">
      <alignment horizontal="left" vertical="center" indent="1"/>
    </xf>
    <xf numFmtId="0" fontId="63" fillId="0" borderId="49" xfId="1" applyFont="1" applyBorder="1" applyAlignment="1">
      <alignment horizontal="left" vertical="center" indent="1"/>
    </xf>
    <xf numFmtId="0" fontId="62" fillId="22" borderId="58" xfId="1" applyFont="1" applyFill="1" applyBorder="1" applyAlignment="1">
      <alignment horizontal="left" vertical="center" indent="1"/>
    </xf>
    <xf numFmtId="0" fontId="62" fillId="23" borderId="66" xfId="1" applyFont="1" applyFill="1" applyBorder="1" applyAlignment="1">
      <alignment horizontal="left" vertical="center" indent="1"/>
    </xf>
    <xf numFmtId="0" fontId="62" fillId="30" borderId="49" xfId="1" applyFont="1" applyFill="1" applyBorder="1" applyAlignment="1">
      <alignment horizontal="left" vertical="center" indent="1"/>
    </xf>
    <xf numFmtId="0" fontId="70" fillId="30" borderId="49" xfId="1" applyFont="1" applyFill="1" applyBorder="1" applyAlignment="1">
      <alignment horizontal="left" vertical="center" indent="2"/>
    </xf>
    <xf numFmtId="0" fontId="65" fillId="30" borderId="49" xfId="1" applyFont="1" applyFill="1" applyBorder="1" applyAlignment="1">
      <alignment horizontal="left" vertical="center" indent="3"/>
    </xf>
    <xf numFmtId="0" fontId="62" fillId="19" borderId="66" xfId="1" applyFont="1" applyFill="1" applyBorder="1" applyAlignment="1">
      <alignment horizontal="left" vertical="center" indent="1"/>
    </xf>
    <xf numFmtId="0" fontId="79" fillId="0" borderId="28" xfId="6" applyFont="1" applyBorder="1" applyAlignment="1">
      <alignment horizontal="left" vertical="center" wrapText="1"/>
    </xf>
    <xf numFmtId="0" fontId="65" fillId="21" borderId="28" xfId="1" quotePrefix="1" applyFont="1" applyFill="1" applyAlignment="1">
      <alignment vertical="top" wrapText="1"/>
    </xf>
    <xf numFmtId="0" fontId="58" fillId="0" borderId="0" xfId="0" applyFont="1" applyAlignment="1">
      <alignment horizontal="left" vertical="top" wrapText="1"/>
    </xf>
    <xf numFmtId="0" fontId="74" fillId="18" borderId="46" xfId="1" applyFont="1" applyFill="1" applyBorder="1" applyAlignment="1">
      <alignment horizontal="left" vertical="center"/>
    </xf>
    <xf numFmtId="0" fontId="74" fillId="18" borderId="47" xfId="1" applyFont="1" applyFill="1" applyBorder="1" applyAlignment="1">
      <alignment horizontal="left" vertical="center"/>
    </xf>
    <xf numFmtId="0" fontId="74" fillId="18" borderId="45" xfId="1" applyFont="1" applyFill="1" applyBorder="1" applyAlignment="1">
      <alignment horizontal="left" vertical="center"/>
    </xf>
    <xf numFmtId="0" fontId="59" fillId="0" borderId="28" xfId="1" applyFont="1" applyBorder="1" applyAlignment="1">
      <alignment horizontal="left" vertical="center" wrapText="1"/>
    </xf>
    <xf numFmtId="0" fontId="63" fillId="0" borderId="28" xfId="1" applyFont="1" applyFill="1" applyBorder="1" applyAlignment="1">
      <alignment horizontal="left" vertical="center" wrapText="1"/>
    </xf>
    <xf numFmtId="0" fontId="74" fillId="29" borderId="45" xfId="1" applyFont="1" applyFill="1" applyBorder="1" applyAlignment="1">
      <alignment horizontal="center" vertical="center"/>
    </xf>
    <xf numFmtId="0" fontId="74" fillId="29" borderId="46" xfId="1" applyFont="1" applyFill="1" applyBorder="1" applyAlignment="1">
      <alignment horizontal="center" vertical="center"/>
    </xf>
    <xf numFmtId="0" fontId="74" fillId="29" borderId="47" xfId="1" applyFont="1" applyFill="1" applyBorder="1" applyAlignment="1">
      <alignment horizontal="center" vertical="center"/>
    </xf>
    <xf numFmtId="0" fontId="50" fillId="0" borderId="0" xfId="0" applyFont="1" applyAlignment="1">
      <alignment horizontal="left" vertical="top" wrapText="1"/>
    </xf>
    <xf numFmtId="0" fontId="61" fillId="21" borderId="28" xfId="1" quotePrefix="1" applyFont="1" applyFill="1" applyAlignment="1">
      <alignment vertical="top" wrapText="1"/>
    </xf>
    <xf numFmtId="0" fontId="30" fillId="18" borderId="45" xfId="1" applyFont="1" applyFill="1" applyBorder="1" applyAlignment="1">
      <alignment horizontal="center" vertical="top"/>
    </xf>
    <xf numFmtId="0" fontId="30" fillId="18" borderId="46" xfId="1" applyFont="1" applyFill="1" applyBorder="1" applyAlignment="1">
      <alignment horizontal="center" vertical="top"/>
    </xf>
    <xf numFmtId="0" fontId="30" fillId="18" borderId="47" xfId="1" applyFont="1" applyFill="1" applyBorder="1" applyAlignment="1">
      <alignment horizontal="center" vertical="top"/>
    </xf>
    <xf numFmtId="0" fontId="24" fillId="0" borderId="28" xfId="1" applyFont="1" applyBorder="1" applyAlignment="1">
      <alignment horizontal="left" vertical="top" wrapText="1"/>
    </xf>
    <xf numFmtId="0" fontId="32" fillId="0" borderId="28" xfId="1" applyFont="1" applyFill="1" applyBorder="1" applyAlignment="1">
      <alignment horizontal="left" vertical="top" wrapText="1"/>
    </xf>
    <xf numFmtId="0" fontId="46" fillId="0" borderId="28" xfId="6" applyBorder="1" applyAlignment="1">
      <alignment horizontal="left" vertical="top" wrapText="1"/>
    </xf>
    <xf numFmtId="0" fontId="55" fillId="25" borderId="28" xfId="9" applyFont="1" applyFill="1" applyAlignment="1">
      <alignment horizontal="center" vertical="center" wrapText="1"/>
    </xf>
    <xf numFmtId="0" fontId="53" fillId="0" borderId="28" xfId="9" applyFont="1" applyAlignment="1"/>
    <xf numFmtId="0" fontId="50" fillId="0" borderId="0" xfId="0" applyFont="1" applyAlignment="1">
      <alignment horizontal="left" wrapText="1"/>
    </xf>
    <xf numFmtId="0" fontId="0" fillId="0" borderId="0" xfId="0" applyFont="1" applyAlignment="1">
      <alignment horizontal="left" wrapText="1"/>
    </xf>
    <xf numFmtId="0" fontId="14" fillId="3" borderId="1" xfId="0" applyFont="1" applyFill="1" applyBorder="1" applyAlignment="1">
      <alignment horizontal="center"/>
    </xf>
    <xf numFmtId="0" fontId="8" fillId="0" borderId="3" xfId="0" applyFont="1" applyBorder="1"/>
    <xf numFmtId="0" fontId="8" fillId="0" borderId="2" xfId="0" applyFont="1" applyBorder="1"/>
    <xf numFmtId="0" fontId="12" fillId="3" borderId="1" xfId="0" applyFont="1" applyFill="1" applyBorder="1" applyAlignment="1">
      <alignment horizontal="center"/>
    </xf>
    <xf numFmtId="0" fontId="15" fillId="4" borderId="26" xfId="0" applyFont="1" applyFill="1" applyBorder="1" applyAlignment="1">
      <alignment horizontal="center" vertical="center" wrapText="1"/>
    </xf>
    <xf numFmtId="0" fontId="8" fillId="0" borderId="27" xfId="0" applyFont="1" applyBorder="1"/>
    <xf numFmtId="0" fontId="8" fillId="0" borderId="28" xfId="0" applyFont="1" applyBorder="1"/>
    <xf numFmtId="0" fontId="0" fillId="5" borderId="18" xfId="0" applyFont="1" applyFill="1" applyBorder="1" applyAlignment="1">
      <alignment horizontal="center"/>
    </xf>
    <xf numFmtId="0" fontId="8" fillId="0" borderId="22" xfId="0" applyFont="1" applyBorder="1"/>
    <xf numFmtId="0" fontId="8" fillId="0" borderId="21" xfId="0" applyFont="1" applyBorder="1"/>
    <xf numFmtId="0" fontId="0" fillId="5" borderId="18" xfId="0" applyFont="1" applyFill="1" applyBorder="1" applyAlignment="1">
      <alignment horizontal="center" wrapText="1"/>
    </xf>
    <xf numFmtId="0" fontId="0" fillId="5" borderId="18" xfId="0" applyFont="1" applyFill="1" applyBorder="1" applyAlignment="1">
      <alignment horizontal="left" wrapText="1"/>
    </xf>
    <xf numFmtId="0" fontId="0" fillId="5" borderId="18" xfId="0" applyFont="1" applyFill="1" applyBorder="1" applyAlignment="1">
      <alignment horizontal="left"/>
    </xf>
    <xf numFmtId="0" fontId="50" fillId="5" borderId="18" xfId="0" applyFont="1" applyFill="1" applyBorder="1" applyAlignment="1">
      <alignment horizontal="center"/>
    </xf>
    <xf numFmtId="0" fontId="10" fillId="0" borderId="0" xfId="0" applyFont="1" applyAlignment="1">
      <alignment horizontal="center"/>
    </xf>
    <xf numFmtId="0" fontId="0" fillId="0" borderId="0" xfId="0" applyFont="1" applyAlignment="1"/>
    <xf numFmtId="0" fontId="22" fillId="15" borderId="1" xfId="0" applyFont="1" applyFill="1" applyBorder="1" applyAlignment="1">
      <alignment horizontal="center"/>
    </xf>
    <xf numFmtId="0" fontId="22" fillId="16" borderId="1" xfId="0" applyFont="1" applyFill="1" applyBorder="1" applyAlignment="1">
      <alignment horizontal="center"/>
    </xf>
    <xf numFmtId="0" fontId="22" fillId="13" borderId="3" xfId="0" applyFont="1" applyFill="1" applyBorder="1" applyAlignment="1">
      <alignment horizontal="center"/>
    </xf>
  </cellXfs>
  <cellStyles count="10">
    <cellStyle name="Comma" xfId="8" builtinId="3"/>
    <cellStyle name="Comma 2" xfId="3" xr:uid="{00000000-0005-0000-0000-000001000000}"/>
    <cellStyle name="Currency 2" xfId="2" xr:uid="{00000000-0005-0000-0000-000002000000}"/>
    <cellStyle name="Good 2" xfId="5" xr:uid="{00000000-0005-0000-0000-000003000000}"/>
    <cellStyle name="Hyperlink" xfId="6" builtinId="8"/>
    <cellStyle name="Normal" xfId="0" builtinId="0"/>
    <cellStyle name="Normal 2" xfId="1" xr:uid="{00000000-0005-0000-0000-000006000000}"/>
    <cellStyle name="Normal 3" xfId="9" xr:uid="{00000000-0005-0000-0000-000007000000}"/>
    <cellStyle name="Percent" xfId="7" builtinId="5"/>
    <cellStyle name="Percent 2" xfId="4" xr:uid="{00000000-0005-0000-0000-000009000000}"/>
  </cellStyles>
  <dxfs count="0"/>
  <tableStyles count="0" defaultTableStyle="TableStyleMedium2" defaultPivotStyle="PivotStyleLight16"/>
  <colors>
    <mruColors>
      <color rgb="FFFFFFCC"/>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My%20Drive\M&amp;A\Delta\HC%20Costs%20Copy%20of%20Delta%20Comp%20v2-%209.27.19%20-%20Sent%20to%20Casp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ow r="28">
          <cell r="A28">
            <v>14</v>
          </cell>
        </row>
        <row r="30">
          <cell r="G30">
            <v>898353.29532264546</v>
          </cell>
        </row>
        <row r="32">
          <cell r="K32">
            <v>111820.30383040616</v>
          </cell>
        </row>
        <row r="37">
          <cell r="N37">
            <v>56599.5</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file:///D:\DOCUMENTS\backup\misc\AppData\Local\Microsoft\Windows\INetCache\Content.Outlook\L1IN61IE\HC%20Costs%20Copy%20of%20Delta%20Comp%20v2-%209.27.19%20-%20Sent%20to%20Casper.xlsx"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file:///D:\DOCUMENTS\backup\misc\AppData\Local\Microsoft\Windows\INetCache\Content.Outlook\L1IN61IE\HC%20Costs%20Copy%20of%20Delta%20Comp%20v2-%209.27.19%20-%20Sent%20to%20Casper.xlsx"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34"/>
  <sheetViews>
    <sheetView showGridLines="0" tabSelected="1" zoomScale="115" zoomScaleNormal="115" workbookViewId="0">
      <pane xSplit="4" ySplit="10" topLeftCell="G11" activePane="bottomRight" state="frozen"/>
      <selection pane="topRight" activeCell="L1" sqref="L1"/>
      <selection pane="bottomLeft" activeCell="A5" sqref="A5"/>
      <selection pane="bottomRight" activeCell="L132" sqref="L132"/>
    </sheetView>
  </sheetViews>
  <sheetFormatPr defaultColWidth="9.140625" defaultRowHeight="12.75" outlineLevelRow="4" outlineLevelCol="3" x14ac:dyDescent="0.25"/>
  <cols>
    <col min="1" max="1" width="1.5703125" style="497" customWidth="1"/>
    <col min="2" max="2" width="22.5703125" style="497" customWidth="1"/>
    <col min="3" max="3" width="11.85546875" style="496" hidden="1" customWidth="1" outlineLevel="1"/>
    <col min="4" max="4" width="4.5703125" style="497" customWidth="1" collapsed="1"/>
    <col min="5" max="6" width="11.5703125" style="496" hidden="1" customWidth="1" outlineLevel="2"/>
    <col min="7" max="7" width="13.28515625" style="496" customWidth="1" collapsed="1"/>
    <col min="8" max="9" width="13.28515625" style="496" customWidth="1"/>
    <col min="10" max="11" width="13.28515625" style="496" customWidth="1" outlineLevel="1"/>
    <col min="12" max="12" width="13.28515625" style="496" customWidth="1"/>
    <col min="13" max="16" width="12.140625" style="496" hidden="1" customWidth="1" outlineLevel="2"/>
    <col min="17" max="17" width="12.5703125" style="496" hidden="1" customWidth="1" outlineLevel="1"/>
    <col min="18" max="21" width="12.140625" style="496" hidden="1" customWidth="1" outlineLevel="3"/>
    <col min="22" max="22" width="13.85546875" style="496" hidden="1" customWidth="1" outlineLevel="1"/>
    <col min="23" max="23" width="0.42578125" style="496" hidden="1" customWidth="1" outlineLevel="1"/>
    <col min="24" max="24" width="4.42578125" style="499" hidden="1" customWidth="1" collapsed="1"/>
    <col min="25" max="25" width="9.140625" style="505" hidden="1" customWidth="1" outlineLevel="1"/>
    <col min="26" max="26" width="16.7109375" style="497" hidden="1" customWidth="1" collapsed="1"/>
    <col min="27" max="27" width="10.28515625" style="497" hidden="1" customWidth="1"/>
    <col min="28" max="28" width="9.140625" style="497" hidden="1" customWidth="1"/>
    <col min="29" max="29" width="0.85546875" style="497" hidden="1" customWidth="1"/>
    <col min="30" max="34" width="9.140625" style="497" hidden="1" customWidth="1"/>
    <col min="35" max="35" width="29.28515625" style="497" hidden="1" customWidth="1"/>
    <col min="36" max="38" width="0" style="497" hidden="1" customWidth="1"/>
    <col min="39" max="16384" width="9.140625" style="497"/>
  </cols>
  <sheetData>
    <row r="1" spans="1:41" ht="24.95" customHeight="1" thickBot="1" x14ac:dyDescent="0.3">
      <c r="A1" s="494" t="s">
        <v>180</v>
      </c>
      <c r="B1" s="495"/>
      <c r="U1" s="498"/>
      <c r="Y1" s="500" t="s">
        <v>181</v>
      </c>
      <c r="AI1" s="497">
        <v>1000000</v>
      </c>
    </row>
    <row r="2" spans="1:41" ht="13.5" hidden="1" outlineLevel="1" thickBot="1" x14ac:dyDescent="0.3">
      <c r="A2" s="494"/>
      <c r="B2" s="501" t="s">
        <v>257</v>
      </c>
      <c r="C2" s="502"/>
      <c r="D2" s="503"/>
      <c r="E2" s="503"/>
      <c r="F2" s="502"/>
      <c r="G2" s="502"/>
      <c r="H2" s="502"/>
      <c r="I2" s="502"/>
      <c r="J2" s="502"/>
      <c r="K2" s="502"/>
      <c r="L2" s="502"/>
      <c r="M2" s="502"/>
      <c r="N2" s="502"/>
      <c r="O2" s="502"/>
      <c r="P2" s="502"/>
      <c r="Q2" s="502"/>
      <c r="R2" s="502"/>
      <c r="S2" s="502"/>
      <c r="T2" s="502"/>
      <c r="U2" s="504"/>
      <c r="V2" s="502"/>
      <c r="W2" s="502"/>
      <c r="Y2" s="505" t="s">
        <v>306</v>
      </c>
      <c r="Z2" s="506" t="s">
        <v>318</v>
      </c>
    </row>
    <row r="3" spans="1:41" ht="13.5" hidden="1" outlineLevel="1" thickBot="1" x14ac:dyDescent="0.3">
      <c r="A3" s="494"/>
      <c r="B3" s="507" t="s">
        <v>297</v>
      </c>
      <c r="C3" s="502"/>
      <c r="D3" s="503"/>
      <c r="E3" s="502"/>
      <c r="F3" s="502"/>
      <c r="G3" s="502"/>
      <c r="H3" s="502"/>
      <c r="I3" s="502"/>
      <c r="J3" s="502"/>
      <c r="K3" s="502"/>
      <c r="L3" s="502"/>
      <c r="M3" s="502"/>
      <c r="N3" s="502"/>
      <c r="O3" s="502"/>
      <c r="P3" s="502"/>
      <c r="Q3" s="502"/>
      <c r="R3" s="502"/>
      <c r="S3" s="502"/>
      <c r="T3" s="502"/>
      <c r="U3" s="504"/>
      <c r="V3" s="502"/>
      <c r="W3" s="502"/>
    </row>
    <row r="4" spans="1:41" ht="13.5" hidden="1" outlineLevel="1" thickBot="1" x14ac:dyDescent="0.3">
      <c r="A4" s="494"/>
      <c r="B4" s="507" t="s">
        <v>182</v>
      </c>
      <c r="C4" s="502"/>
      <c r="D4" s="503"/>
      <c r="E4" s="502"/>
      <c r="F4" s="502"/>
      <c r="G4" s="502"/>
      <c r="H4" s="502"/>
      <c r="I4" s="502"/>
      <c r="J4" s="502"/>
      <c r="K4" s="502"/>
      <c r="L4" s="502"/>
      <c r="M4" s="502"/>
      <c r="N4" s="502"/>
      <c r="O4" s="502"/>
      <c r="P4" s="502"/>
      <c r="Q4" s="502"/>
      <c r="R4" s="502"/>
      <c r="S4" s="502"/>
      <c r="T4" s="502"/>
      <c r="U4" s="504"/>
      <c r="V4" s="502"/>
      <c r="W4" s="502"/>
    </row>
    <row r="5" spans="1:41" ht="16.5" hidden="1" customHeight="1" outlineLevel="1" x14ac:dyDescent="0.25">
      <c r="A5" s="494"/>
      <c r="B5" s="507" t="s">
        <v>183</v>
      </c>
      <c r="C5" s="502"/>
      <c r="D5" s="503"/>
      <c r="E5" s="502"/>
      <c r="F5" s="502"/>
      <c r="G5" s="502"/>
      <c r="H5" s="502"/>
      <c r="I5" s="502"/>
      <c r="J5" s="502"/>
      <c r="K5" s="502"/>
      <c r="L5" s="502"/>
      <c r="M5" s="502"/>
      <c r="N5" s="502"/>
      <c r="O5" s="502"/>
      <c r="P5" s="502"/>
      <c r="Q5" s="502"/>
      <c r="R5" s="502"/>
      <c r="S5" s="502"/>
      <c r="T5" s="502"/>
      <c r="U5" s="504"/>
      <c r="V5" s="502"/>
      <c r="W5" s="502"/>
    </row>
    <row r="6" spans="1:41" ht="13.5" hidden="1" outlineLevel="1" thickBot="1" x14ac:dyDescent="0.3">
      <c r="A6" s="494"/>
      <c r="B6" s="765" t="s">
        <v>296</v>
      </c>
      <c r="C6" s="765"/>
      <c r="D6" s="765"/>
      <c r="E6" s="765"/>
      <c r="F6" s="765"/>
      <c r="G6" s="765"/>
      <c r="H6" s="765"/>
      <c r="I6" s="765"/>
      <c r="J6" s="765"/>
      <c r="K6" s="765"/>
      <c r="L6" s="765"/>
      <c r="M6" s="765"/>
      <c r="N6" s="765"/>
      <c r="O6" s="765"/>
      <c r="P6" s="765"/>
      <c r="Q6" s="765"/>
      <c r="R6" s="765"/>
      <c r="S6" s="765"/>
      <c r="T6" s="765"/>
      <c r="U6" s="765"/>
      <c r="V6" s="765"/>
      <c r="W6" s="765"/>
    </row>
    <row r="7" spans="1:41" ht="13.5" hidden="1" outlineLevel="1" thickBot="1" x14ac:dyDescent="0.3">
      <c r="A7" s="494"/>
      <c r="B7" s="765" t="s">
        <v>314</v>
      </c>
      <c r="C7" s="765"/>
      <c r="D7" s="765"/>
      <c r="E7" s="765"/>
      <c r="F7" s="765"/>
      <c r="G7" s="765"/>
      <c r="H7" s="765"/>
      <c r="I7" s="765"/>
      <c r="J7" s="765"/>
      <c r="K7" s="765"/>
      <c r="L7" s="765"/>
      <c r="M7" s="765"/>
      <c r="N7" s="765"/>
      <c r="O7" s="765"/>
      <c r="P7" s="765"/>
      <c r="Q7" s="765"/>
      <c r="R7" s="765"/>
      <c r="S7" s="765"/>
      <c r="T7" s="765"/>
      <c r="U7" s="765"/>
      <c r="V7" s="765"/>
      <c r="W7" s="765"/>
      <c r="Y7" s="766"/>
      <c r="Z7" s="766"/>
      <c r="AA7" s="766"/>
      <c r="AB7" s="766"/>
      <c r="AC7" s="766"/>
      <c r="AD7" s="766"/>
      <c r="AE7" s="766"/>
      <c r="AF7" s="766"/>
      <c r="AG7" s="766"/>
      <c r="AH7" s="766"/>
      <c r="AI7" s="766"/>
      <c r="AJ7" s="766"/>
      <c r="AK7" s="766"/>
      <c r="AL7" s="766"/>
      <c r="AM7" s="766"/>
      <c r="AN7" s="766"/>
      <c r="AO7" s="766"/>
    </row>
    <row r="8" spans="1:41" ht="16.5" hidden="1" customHeight="1" collapsed="1" thickBot="1" x14ac:dyDescent="0.3">
      <c r="A8" s="494"/>
      <c r="B8" s="495"/>
      <c r="U8" s="498"/>
    </row>
    <row r="9" spans="1:41" s="508" customFormat="1" ht="16.5" customHeight="1" thickBot="1" x14ac:dyDescent="0.3">
      <c r="B9" s="741"/>
      <c r="C9" s="701"/>
      <c r="D9" s="701"/>
      <c r="E9" s="772" t="s">
        <v>332</v>
      </c>
      <c r="F9" s="773"/>
      <c r="G9" s="774"/>
      <c r="H9" s="658" t="s">
        <v>333</v>
      </c>
      <c r="I9" s="658"/>
      <c r="J9" s="658"/>
      <c r="K9" s="658"/>
      <c r="L9" s="659"/>
      <c r="M9" s="767">
        <v>2021</v>
      </c>
      <c r="N9" s="767"/>
      <c r="O9" s="767"/>
      <c r="P9" s="767"/>
      <c r="Q9" s="768"/>
      <c r="R9" s="769">
        <v>2022</v>
      </c>
      <c r="S9" s="767"/>
      <c r="T9" s="767"/>
      <c r="U9" s="767"/>
      <c r="V9" s="768"/>
      <c r="W9" s="510" t="s">
        <v>184</v>
      </c>
      <c r="X9" s="511"/>
      <c r="Y9" s="512"/>
    </row>
    <row r="10" spans="1:41" s="508" customFormat="1" ht="13.5" thickBot="1" x14ac:dyDescent="0.3">
      <c r="B10" s="547"/>
      <c r="C10" s="513" t="s">
        <v>185</v>
      </c>
      <c r="D10" s="509"/>
      <c r="E10" s="699" t="s">
        <v>336</v>
      </c>
      <c r="F10" s="700" t="s">
        <v>337</v>
      </c>
      <c r="G10" s="732" t="s">
        <v>338</v>
      </c>
      <c r="H10" s="733" t="s">
        <v>340</v>
      </c>
      <c r="I10" s="733" t="s">
        <v>341</v>
      </c>
      <c r="J10" s="733" t="s">
        <v>342</v>
      </c>
      <c r="K10" s="733" t="s">
        <v>343</v>
      </c>
      <c r="L10" s="732" t="s">
        <v>331</v>
      </c>
      <c r="M10" s="514" t="s">
        <v>18</v>
      </c>
      <c r="N10" s="514" t="s">
        <v>19</v>
      </c>
      <c r="O10" s="514" t="s">
        <v>10</v>
      </c>
      <c r="P10" s="516" t="s">
        <v>17</v>
      </c>
      <c r="Q10" s="697" t="s">
        <v>186</v>
      </c>
      <c r="R10" s="698" t="s">
        <v>18</v>
      </c>
      <c r="S10" s="514" t="s">
        <v>19</v>
      </c>
      <c r="T10" s="514" t="s">
        <v>10</v>
      </c>
      <c r="U10" s="516" t="s">
        <v>17</v>
      </c>
      <c r="V10" s="697" t="s">
        <v>186</v>
      </c>
      <c r="W10" s="516" t="s">
        <v>187</v>
      </c>
      <c r="X10" s="515"/>
    </row>
    <row r="11" spans="1:41" s="508" customFormat="1" ht="17.100000000000001" customHeight="1" x14ac:dyDescent="0.25">
      <c r="B11" s="704" t="s">
        <v>326</v>
      </c>
      <c r="C11" s="513"/>
      <c r="D11" s="509"/>
      <c r="E11" s="541"/>
      <c r="F11" s="515"/>
      <c r="G11" s="626"/>
      <c r="H11" s="515"/>
      <c r="I11" s="515"/>
      <c r="J11" s="515"/>
      <c r="K11" s="515"/>
      <c r="L11" s="626"/>
      <c r="M11" s="514"/>
      <c r="N11" s="514"/>
      <c r="O11" s="514"/>
      <c r="P11" s="514"/>
      <c r="Q11" s="514"/>
      <c r="R11" s="514"/>
      <c r="S11" s="514"/>
      <c r="T11" s="514"/>
      <c r="U11" s="514"/>
      <c r="V11" s="514"/>
      <c r="W11" s="516"/>
      <c r="X11" s="515"/>
    </row>
    <row r="12" spans="1:41" s="517" customFormat="1" ht="17.100000000000001" customHeight="1" x14ac:dyDescent="0.25">
      <c r="B12" s="742" t="s">
        <v>188</v>
      </c>
      <c r="C12" s="518"/>
      <c r="D12" s="518"/>
      <c r="E12" s="524"/>
      <c r="F12" s="520">
        <f>[1]Sheet1!$A$28</f>
        <v>14</v>
      </c>
      <c r="G12" s="627">
        <f>F12</f>
        <v>14</v>
      </c>
      <c r="H12" s="520">
        <f>G12</f>
        <v>14</v>
      </c>
      <c r="I12" s="520">
        <f t="shared" ref="I12:V12" si="0">H12</f>
        <v>14</v>
      </c>
      <c r="J12" s="520">
        <f t="shared" si="0"/>
        <v>14</v>
      </c>
      <c r="K12" s="520">
        <f t="shared" si="0"/>
        <v>14</v>
      </c>
      <c r="L12" s="627">
        <f t="shared" si="0"/>
        <v>14</v>
      </c>
      <c r="M12" s="519">
        <f>L12</f>
        <v>14</v>
      </c>
      <c r="N12" s="519">
        <f t="shared" si="0"/>
        <v>14</v>
      </c>
      <c r="O12" s="519">
        <f t="shared" si="0"/>
        <v>14</v>
      </c>
      <c r="P12" s="519">
        <f t="shared" si="0"/>
        <v>14</v>
      </c>
      <c r="Q12" s="521">
        <f t="shared" si="0"/>
        <v>14</v>
      </c>
      <c r="R12" s="521">
        <f t="shared" si="0"/>
        <v>14</v>
      </c>
      <c r="S12" s="519">
        <f t="shared" si="0"/>
        <v>14</v>
      </c>
      <c r="T12" s="519">
        <f t="shared" si="0"/>
        <v>14</v>
      </c>
      <c r="U12" s="519">
        <f t="shared" si="0"/>
        <v>14</v>
      </c>
      <c r="V12" s="521">
        <f t="shared" si="0"/>
        <v>14</v>
      </c>
      <c r="W12" s="522">
        <f>V12</f>
        <v>14</v>
      </c>
      <c r="X12" s="519"/>
      <c r="Y12" s="770"/>
      <c r="Z12" s="770"/>
      <c r="AA12" s="770"/>
      <c r="AB12" s="770"/>
      <c r="AC12" s="770"/>
      <c r="AD12" s="770"/>
      <c r="AE12" s="770"/>
      <c r="AF12" s="770"/>
      <c r="AG12" s="770"/>
      <c r="AH12" s="770"/>
    </row>
    <row r="13" spans="1:41" s="517" customFormat="1" ht="17.100000000000001" customHeight="1" x14ac:dyDescent="0.25">
      <c r="B13" s="742" t="s">
        <v>324</v>
      </c>
      <c r="C13" s="518"/>
      <c r="D13" s="518"/>
      <c r="E13" s="524"/>
      <c r="F13" s="520">
        <v>6</v>
      </c>
      <c r="G13" s="662">
        <f>F13</f>
        <v>6</v>
      </c>
      <c r="H13" s="523">
        <v>12</v>
      </c>
      <c r="I13" s="523">
        <v>12</v>
      </c>
      <c r="J13" s="523">
        <v>14</v>
      </c>
      <c r="K13" s="523">
        <v>14</v>
      </c>
      <c r="L13" s="662">
        <f>K13</f>
        <v>14</v>
      </c>
      <c r="M13" s="519">
        <v>14</v>
      </c>
      <c r="N13" s="519">
        <v>14</v>
      </c>
      <c r="O13" s="519">
        <v>14</v>
      </c>
      <c r="P13" s="522">
        <v>14</v>
      </c>
      <c r="Q13" s="522">
        <f>P13</f>
        <v>14</v>
      </c>
      <c r="R13" s="524">
        <f t="shared" ref="R13" si="1">P13</f>
        <v>14</v>
      </c>
      <c r="S13" s="519">
        <f>R13</f>
        <v>14</v>
      </c>
      <c r="T13" s="519">
        <f>S13</f>
        <v>14</v>
      </c>
      <c r="U13" s="522">
        <f>T13</f>
        <v>14</v>
      </c>
      <c r="V13" s="522">
        <f>U13</f>
        <v>14</v>
      </c>
      <c r="W13" s="522">
        <f>V13</f>
        <v>14</v>
      </c>
      <c r="X13" s="519"/>
      <c r="Y13" s="771" t="s">
        <v>322</v>
      </c>
      <c r="Z13" s="771"/>
      <c r="AA13" s="771"/>
      <c r="AB13" s="771"/>
      <c r="AC13" s="771"/>
      <c r="AD13" s="771"/>
      <c r="AE13" s="771"/>
      <c r="AF13" s="771"/>
      <c r="AG13" s="771"/>
      <c r="AH13" s="771"/>
    </row>
    <row r="14" spans="1:41" s="525" customFormat="1" ht="19.5" customHeight="1" x14ac:dyDescent="0.25">
      <c r="B14" s="743" t="s">
        <v>325</v>
      </c>
      <c r="C14" s="735"/>
      <c r="D14" s="735"/>
      <c r="E14" s="736"/>
      <c r="F14" s="737">
        <f>F12+F13</f>
        <v>20</v>
      </c>
      <c r="G14" s="738">
        <f t="shared" ref="G14:V14" si="2">G12+G13</f>
        <v>20</v>
      </c>
      <c r="H14" s="737">
        <f t="shared" si="2"/>
        <v>26</v>
      </c>
      <c r="I14" s="737">
        <f t="shared" si="2"/>
        <v>26</v>
      </c>
      <c r="J14" s="737">
        <f t="shared" si="2"/>
        <v>28</v>
      </c>
      <c r="K14" s="737">
        <f t="shared" si="2"/>
        <v>28</v>
      </c>
      <c r="L14" s="738">
        <f t="shared" si="2"/>
        <v>28</v>
      </c>
      <c r="M14" s="526">
        <f t="shared" si="2"/>
        <v>28</v>
      </c>
      <c r="N14" s="526">
        <f t="shared" si="2"/>
        <v>28</v>
      </c>
      <c r="O14" s="526">
        <f t="shared" si="2"/>
        <v>28</v>
      </c>
      <c r="P14" s="526">
        <f t="shared" si="2"/>
        <v>28</v>
      </c>
      <c r="Q14" s="526">
        <f t="shared" si="2"/>
        <v>28</v>
      </c>
      <c r="R14" s="526">
        <f t="shared" si="2"/>
        <v>28</v>
      </c>
      <c r="S14" s="526">
        <f t="shared" si="2"/>
        <v>28</v>
      </c>
      <c r="T14" s="526">
        <f t="shared" si="2"/>
        <v>28</v>
      </c>
      <c r="U14" s="526">
        <f t="shared" si="2"/>
        <v>28</v>
      </c>
      <c r="V14" s="526">
        <f t="shared" si="2"/>
        <v>28</v>
      </c>
      <c r="W14" s="527">
        <f>V14</f>
        <v>28</v>
      </c>
      <c r="X14" s="519"/>
    </row>
    <row r="15" spans="1:41" s="525" customFormat="1" ht="11.1" customHeight="1" x14ac:dyDescent="0.25">
      <c r="B15" s="702"/>
      <c r="C15" s="528"/>
      <c r="D15" s="528"/>
      <c r="E15" s="524"/>
      <c r="F15" s="519"/>
      <c r="G15" s="628"/>
      <c r="H15" s="519"/>
      <c r="I15" s="519"/>
      <c r="J15" s="519"/>
      <c r="K15" s="519"/>
      <c r="L15" s="628"/>
      <c r="M15" s="519"/>
      <c r="N15" s="519"/>
      <c r="O15" s="519"/>
      <c r="P15" s="519"/>
      <c r="Q15" s="519"/>
      <c r="R15" s="519"/>
      <c r="S15" s="519"/>
      <c r="T15" s="519"/>
      <c r="U15" s="519"/>
      <c r="V15" s="519"/>
      <c r="W15" s="519"/>
      <c r="X15" s="519"/>
    </row>
    <row r="16" spans="1:41" s="525" customFormat="1" ht="16.5" customHeight="1" x14ac:dyDescent="0.25">
      <c r="B16" s="702" t="s">
        <v>344</v>
      </c>
      <c r="C16" s="528"/>
      <c r="D16" s="528"/>
      <c r="E16" s="524"/>
      <c r="F16" s="519"/>
      <c r="G16" s="726"/>
      <c r="H16" s="696"/>
      <c r="I16" s="696"/>
      <c r="J16" s="696"/>
      <c r="K16" s="696"/>
      <c r="L16" s="726"/>
      <c r="M16" s="606"/>
      <c r="N16" s="657"/>
      <c r="O16" s="519"/>
      <c r="P16" s="519"/>
      <c r="Q16" s="519"/>
      <c r="R16" s="519"/>
      <c r="S16" s="519"/>
      <c r="T16" s="519"/>
      <c r="U16" s="519"/>
      <c r="V16" s="519"/>
      <c r="W16" s="519"/>
      <c r="X16" s="519"/>
    </row>
    <row r="17" spans="2:27" s="508" customFormat="1" ht="18.600000000000001" customHeight="1" x14ac:dyDescent="0.25">
      <c r="B17" s="744" t="str">
        <f>B12</f>
        <v>Delta Employees</v>
      </c>
      <c r="C17" s="509"/>
      <c r="D17" s="509"/>
      <c r="E17" s="620"/>
      <c r="F17" s="529">
        <f>F43</f>
        <v>311675.05975650233</v>
      </c>
      <c r="G17" s="680">
        <f t="shared" ref="G17:W17" si="3">G43</f>
        <v>311675.05975650233</v>
      </c>
      <c r="H17" s="681">
        <f t="shared" si="3"/>
        <v>311675.05975650233</v>
      </c>
      <c r="I17" s="681">
        <f t="shared" si="3"/>
        <v>311675.05975650233</v>
      </c>
      <c r="J17" s="681">
        <f t="shared" si="3"/>
        <v>311675.05975650233</v>
      </c>
      <c r="K17" s="681">
        <f t="shared" si="3"/>
        <v>311675.05975650233</v>
      </c>
      <c r="L17" s="680">
        <f t="shared" si="3"/>
        <v>1246699.7890260094</v>
      </c>
      <c r="M17" s="529">
        <f t="shared" si="3"/>
        <v>326196.36274432752</v>
      </c>
      <c r="N17" s="529">
        <f t="shared" si="3"/>
        <v>312029.64607766084</v>
      </c>
      <c r="O17" s="529">
        <f t="shared" si="3"/>
        <v>312029.64607766084</v>
      </c>
      <c r="P17" s="529">
        <f t="shared" si="3"/>
        <v>312029.64607766084</v>
      </c>
      <c r="Q17" s="529">
        <f t="shared" si="3"/>
        <v>1262284.8009773099</v>
      </c>
      <c r="R17" s="529">
        <f t="shared" si="3"/>
        <v>327277.0038398772</v>
      </c>
      <c r="S17" s="529">
        <f t="shared" si="3"/>
        <v>327276.94633987721</v>
      </c>
      <c r="T17" s="529">
        <f t="shared" si="3"/>
        <v>327276.94633987721</v>
      </c>
      <c r="U17" s="529">
        <f t="shared" si="3"/>
        <v>320193.61300654389</v>
      </c>
      <c r="V17" s="529">
        <f t="shared" si="3"/>
        <v>1302024.0095261754</v>
      </c>
      <c r="W17" s="529">
        <f t="shared" si="3"/>
        <v>4122683.659285997</v>
      </c>
      <c r="X17" s="525"/>
      <c r="Y17" s="530"/>
      <c r="Z17" s="509"/>
    </row>
    <row r="18" spans="2:27" s="508" customFormat="1" ht="18.600000000000001" customHeight="1" x14ac:dyDescent="0.25">
      <c r="B18" s="745" t="str">
        <f>B13</f>
        <v xml:space="preserve">New Asia Hires </v>
      </c>
      <c r="C18" s="509"/>
      <c r="D18" s="509"/>
      <c r="E18" s="620"/>
      <c r="F18" s="619">
        <f t="shared" ref="F18:W18" si="4">F69</f>
        <v>240224.74625</v>
      </c>
      <c r="G18" s="630">
        <f t="shared" si="4"/>
        <v>240224.64624999999</v>
      </c>
      <c r="H18" s="619">
        <f t="shared" si="4"/>
        <v>397541.72749999998</v>
      </c>
      <c r="I18" s="619">
        <f t="shared" si="4"/>
        <v>314634.22749999998</v>
      </c>
      <c r="J18" s="619">
        <f t="shared" si="4"/>
        <v>394709.05458333332</v>
      </c>
      <c r="K18" s="619">
        <f t="shared" si="4"/>
        <v>367073.22125</v>
      </c>
      <c r="L18" s="630">
        <f t="shared" si="4"/>
        <v>1473957.3808333331</v>
      </c>
      <c r="M18" s="529">
        <f t="shared" si="4"/>
        <v>385426.86906249996</v>
      </c>
      <c r="N18" s="529">
        <f t="shared" si="4"/>
        <v>385426.86906249996</v>
      </c>
      <c r="O18" s="529">
        <f t="shared" si="4"/>
        <v>385426.86906249996</v>
      </c>
      <c r="P18" s="529">
        <f t="shared" si="4"/>
        <v>385426.86906249996</v>
      </c>
      <c r="Q18" s="529">
        <f t="shared" si="4"/>
        <v>1541706.6262499997</v>
      </c>
      <c r="R18" s="529">
        <f t="shared" si="4"/>
        <v>404698.19926562498</v>
      </c>
      <c r="S18" s="529">
        <f t="shared" si="4"/>
        <v>404698.19926562498</v>
      </c>
      <c r="T18" s="529">
        <f t="shared" si="4"/>
        <v>404698.19926562498</v>
      </c>
      <c r="U18" s="529">
        <f t="shared" si="4"/>
        <v>404698.19926562498</v>
      </c>
      <c r="V18" s="529">
        <f t="shared" si="4"/>
        <v>1618791.9470624998</v>
      </c>
      <c r="W18" s="529">
        <f t="shared" si="4"/>
        <v>4874680.6003958331</v>
      </c>
      <c r="X18" s="525"/>
      <c r="Y18" s="530"/>
      <c r="Z18" s="509" t="s">
        <v>312</v>
      </c>
      <c r="AA18" s="531">
        <f>(L18-L17)/L17</f>
        <v>0.182287342797154</v>
      </c>
    </row>
    <row r="19" spans="2:27" s="535" customFormat="1" ht="18.600000000000001" customHeight="1" x14ac:dyDescent="0.25">
      <c r="B19" s="746" t="s">
        <v>334</v>
      </c>
      <c r="C19" s="515"/>
      <c r="D19" s="515"/>
      <c r="E19" s="621"/>
      <c r="F19" s="605">
        <f t="shared" ref="F19:W19" si="5">F43+F69</f>
        <v>551899.80600650236</v>
      </c>
      <c r="G19" s="682">
        <f t="shared" si="5"/>
        <v>551899.70600650227</v>
      </c>
      <c r="H19" s="683">
        <f t="shared" si="5"/>
        <v>709216.78725650231</v>
      </c>
      <c r="I19" s="683">
        <f t="shared" si="5"/>
        <v>626309.28725650231</v>
      </c>
      <c r="J19" s="683">
        <f t="shared" si="5"/>
        <v>706384.11433983571</v>
      </c>
      <c r="K19" s="683">
        <f t="shared" si="5"/>
        <v>678748.28100650234</v>
      </c>
      <c r="L19" s="682">
        <f t="shared" si="5"/>
        <v>2720657.1698593423</v>
      </c>
      <c r="M19" s="532">
        <f t="shared" si="5"/>
        <v>711623.23180682748</v>
      </c>
      <c r="N19" s="532">
        <f t="shared" si="5"/>
        <v>697456.5151401608</v>
      </c>
      <c r="O19" s="532">
        <f t="shared" si="5"/>
        <v>697456.5151401608</v>
      </c>
      <c r="P19" s="532">
        <f t="shared" si="5"/>
        <v>697456.5151401608</v>
      </c>
      <c r="Q19" s="532">
        <f t="shared" si="5"/>
        <v>2803991.4272273099</v>
      </c>
      <c r="R19" s="532">
        <f t="shared" si="5"/>
        <v>731975.20310550218</v>
      </c>
      <c r="S19" s="532">
        <f t="shared" si="5"/>
        <v>731975.14560550218</v>
      </c>
      <c r="T19" s="532">
        <f t="shared" si="5"/>
        <v>731975.14560550218</v>
      </c>
      <c r="U19" s="532">
        <f t="shared" si="5"/>
        <v>724891.81227216893</v>
      </c>
      <c r="V19" s="532">
        <f t="shared" si="5"/>
        <v>2920815.9565886753</v>
      </c>
      <c r="W19" s="532">
        <f t="shared" si="5"/>
        <v>8997364.2596818302</v>
      </c>
      <c r="X19" s="515"/>
      <c r="Y19" s="533"/>
      <c r="Z19" s="734">
        <f>L17+L18</f>
        <v>2720657.1698593423</v>
      </c>
    </row>
    <row r="20" spans="2:27" s="533" customFormat="1" ht="23.45" hidden="1" customHeight="1" outlineLevel="1" x14ac:dyDescent="0.25">
      <c r="B20" s="747" t="s">
        <v>209</v>
      </c>
      <c r="C20" s="536"/>
      <c r="D20" s="537"/>
      <c r="E20" s="622"/>
      <c r="F20" s="485">
        <f>F85</f>
        <v>17500</v>
      </c>
      <c r="G20" s="684">
        <f t="shared" ref="G20:L20" si="6">G85</f>
        <v>17500</v>
      </c>
      <c r="H20" s="685">
        <f t="shared" si="6"/>
        <v>32500</v>
      </c>
      <c r="I20" s="685">
        <f t="shared" si="6"/>
        <v>32500</v>
      </c>
      <c r="J20" s="685">
        <f t="shared" si="6"/>
        <v>35000</v>
      </c>
      <c r="K20" s="685">
        <f t="shared" si="6"/>
        <v>35000</v>
      </c>
      <c r="L20" s="684">
        <f t="shared" si="6"/>
        <v>135000</v>
      </c>
      <c r="M20" s="485" t="e">
        <f>#REF!+M3</f>
        <v>#REF!</v>
      </c>
      <c r="N20" s="485" t="e">
        <f>#REF!+N3</f>
        <v>#REF!</v>
      </c>
      <c r="O20" s="485" t="e">
        <f>#REF!+O3</f>
        <v>#REF!</v>
      </c>
      <c r="P20" s="485" t="e">
        <f>#REF!+P3</f>
        <v>#REF!</v>
      </c>
      <c r="Q20" s="513" t="e">
        <f t="shared" ref="Q20:Q21" si="7">SUM(M20:P20)</f>
        <v>#REF!</v>
      </c>
      <c r="R20" s="485" t="e">
        <f>#REF!+R3</f>
        <v>#REF!</v>
      </c>
      <c r="S20" s="485" t="e">
        <f>#REF!+S3</f>
        <v>#REF!</v>
      </c>
      <c r="T20" s="485" t="e">
        <f>#REF!+T3</f>
        <v>#REF!</v>
      </c>
      <c r="U20" s="485" t="e">
        <f>#REF!+U3</f>
        <v>#REF!</v>
      </c>
      <c r="V20" s="513" t="e">
        <f t="shared" ref="V20:V21" si="8">SUM(R20:U20)</f>
        <v>#REF!</v>
      </c>
      <c r="W20" s="513" t="e">
        <f>G20+L20+Q20+V20</f>
        <v>#REF!</v>
      </c>
      <c r="X20" s="469"/>
      <c r="Y20" s="530"/>
    </row>
    <row r="21" spans="2:27" s="508" customFormat="1" ht="23.45" hidden="1" customHeight="1" outlineLevel="1" x14ac:dyDescent="0.25">
      <c r="B21" s="747" t="s">
        <v>229</v>
      </c>
      <c r="C21" s="509"/>
      <c r="D21" s="509"/>
      <c r="E21" s="623"/>
      <c r="F21" s="475">
        <f>F86</f>
        <v>22963</v>
      </c>
      <c r="G21" s="686">
        <f t="shared" ref="G21:L21" si="9">G86</f>
        <v>22963</v>
      </c>
      <c r="H21" s="687">
        <f t="shared" si="9"/>
        <v>177439</v>
      </c>
      <c r="I21" s="687">
        <f t="shared" si="9"/>
        <v>177439</v>
      </c>
      <c r="J21" s="687">
        <f t="shared" si="9"/>
        <v>154476</v>
      </c>
      <c r="K21" s="687">
        <f t="shared" si="9"/>
        <v>154476</v>
      </c>
      <c r="L21" s="686">
        <f t="shared" si="9"/>
        <v>663830</v>
      </c>
      <c r="M21" s="475" t="e">
        <f>#REF!+M4</f>
        <v>#REF!</v>
      </c>
      <c r="N21" s="475" t="e">
        <f>#REF!+N4</f>
        <v>#REF!</v>
      </c>
      <c r="O21" s="475" t="e">
        <f>#REF!+O4</f>
        <v>#REF!</v>
      </c>
      <c r="P21" s="475" t="e">
        <f>#REF!+P4</f>
        <v>#REF!</v>
      </c>
      <c r="Q21" s="513" t="e">
        <f t="shared" si="7"/>
        <v>#REF!</v>
      </c>
      <c r="R21" s="475" t="e">
        <f>#REF!+R4</f>
        <v>#REF!</v>
      </c>
      <c r="S21" s="475" t="e">
        <f>#REF!+S4</f>
        <v>#REF!</v>
      </c>
      <c r="T21" s="475" t="e">
        <f>#REF!+T4</f>
        <v>#REF!</v>
      </c>
      <c r="U21" s="475" t="e">
        <f>#REF!+U4</f>
        <v>#REF!</v>
      </c>
      <c r="V21" s="513" t="e">
        <f t="shared" si="8"/>
        <v>#REF!</v>
      </c>
      <c r="W21" s="513" t="e">
        <f>G21+L21+Q21+V21</f>
        <v>#REF!</v>
      </c>
      <c r="X21" s="469"/>
      <c r="Y21" s="530"/>
      <c r="Z21" s="509"/>
    </row>
    <row r="22" spans="2:27" s="534" customFormat="1" ht="23.45" hidden="1" customHeight="1" outlineLevel="1" x14ac:dyDescent="0.25">
      <c r="B22" s="748" t="s">
        <v>300</v>
      </c>
      <c r="C22" s="475" t="s">
        <v>91</v>
      </c>
      <c r="E22" s="624"/>
      <c r="F22" s="485">
        <f>F90</f>
        <v>20000</v>
      </c>
      <c r="G22" s="684">
        <f t="shared" ref="G22:L22" si="10">G90</f>
        <v>20000</v>
      </c>
      <c r="H22" s="685">
        <f t="shared" si="10"/>
        <v>10000</v>
      </c>
      <c r="I22" s="685">
        <f t="shared" si="10"/>
        <v>10000</v>
      </c>
      <c r="J22" s="685">
        <f t="shared" si="10"/>
        <v>20000</v>
      </c>
      <c r="K22" s="685">
        <f t="shared" si="10"/>
        <v>10000</v>
      </c>
      <c r="L22" s="684">
        <f t="shared" si="10"/>
        <v>50000</v>
      </c>
      <c r="M22" s="538">
        <f>K22</f>
        <v>10000</v>
      </c>
      <c r="N22" s="538">
        <f>M22</f>
        <v>10000</v>
      </c>
      <c r="O22" s="538">
        <f>N22</f>
        <v>10000</v>
      </c>
      <c r="P22" s="538">
        <f t="shared" ref="P22" si="11">M22</f>
        <v>10000</v>
      </c>
      <c r="Q22" s="513">
        <f t="shared" ref="Q22" si="12">SUM(M22:P22)</f>
        <v>40000</v>
      </c>
      <c r="R22" s="538">
        <f>M22</f>
        <v>10000</v>
      </c>
      <c r="S22" s="538">
        <f>R22</f>
        <v>10000</v>
      </c>
      <c r="T22" s="538">
        <f>S22</f>
        <v>10000</v>
      </c>
      <c r="U22" s="538">
        <f>S22</f>
        <v>10000</v>
      </c>
      <c r="V22" s="513">
        <f t="shared" ref="V22" si="13">SUM(R22:U22)</f>
        <v>40000</v>
      </c>
      <c r="W22" s="513">
        <f>G22+L22+Q22+V22</f>
        <v>150000</v>
      </c>
      <c r="X22" s="469"/>
      <c r="Y22" s="530"/>
    </row>
    <row r="23" spans="2:27" s="534" customFormat="1" ht="23.45" hidden="1" customHeight="1" outlineLevel="1" x14ac:dyDescent="0.25">
      <c r="B23" s="748" t="s">
        <v>233</v>
      </c>
      <c r="C23" s="475" t="s">
        <v>219</v>
      </c>
      <c r="E23" s="622"/>
      <c r="F23" s="485">
        <f>F93</f>
        <v>25564.375</v>
      </c>
      <c r="G23" s="684">
        <f t="shared" ref="G23:L23" si="14">G93</f>
        <v>25564.375</v>
      </c>
      <c r="H23" s="685">
        <f t="shared" si="14"/>
        <v>19164.375</v>
      </c>
      <c r="I23" s="685">
        <f t="shared" si="14"/>
        <v>19164.375</v>
      </c>
      <c r="J23" s="685">
        <f t="shared" si="14"/>
        <v>19414.375</v>
      </c>
      <c r="K23" s="685">
        <f t="shared" si="14"/>
        <v>6914.375</v>
      </c>
      <c r="L23" s="684">
        <f t="shared" si="14"/>
        <v>64657.5</v>
      </c>
      <c r="M23" s="485" t="e">
        <f t="shared" ref="M23" si="15">#REF!</f>
        <v>#REF!</v>
      </c>
      <c r="N23" s="485" t="e">
        <f t="shared" ref="N23" si="16">#REF!</f>
        <v>#REF!</v>
      </c>
      <c r="O23" s="485" t="e">
        <f t="shared" ref="O23" si="17">#REF!</f>
        <v>#REF!</v>
      </c>
      <c r="P23" s="485" t="e">
        <f t="shared" ref="P23" si="18">#REF!</f>
        <v>#REF!</v>
      </c>
      <c r="Q23" s="513" t="e">
        <f t="shared" ref="Q23:Q25" si="19">SUM(M23:P23)</f>
        <v>#REF!</v>
      </c>
      <c r="R23" s="485" t="e">
        <f t="shared" ref="R23" si="20">#REF!</f>
        <v>#REF!</v>
      </c>
      <c r="S23" s="485" t="e">
        <f t="shared" ref="S23" si="21">#REF!</f>
        <v>#REF!</v>
      </c>
      <c r="T23" s="485" t="e">
        <f t="shared" ref="T23" si="22">#REF!</f>
        <v>#REF!</v>
      </c>
      <c r="U23" s="485" t="e">
        <f t="shared" ref="U23" si="23">#REF!</f>
        <v>#REF!</v>
      </c>
      <c r="V23" s="513" t="e">
        <f t="shared" ref="V23:V25" si="24">SUM(R23:U23)</f>
        <v>#REF!</v>
      </c>
      <c r="W23" s="513" t="e">
        <f t="shared" ref="W23" si="25">#REF!</f>
        <v>#REF!</v>
      </c>
      <c r="X23" s="469"/>
      <c r="Y23" s="530"/>
    </row>
    <row r="24" spans="2:27" s="534" customFormat="1" ht="23.45" hidden="1" customHeight="1" outlineLevel="1" x14ac:dyDescent="0.25">
      <c r="B24" s="748" t="s">
        <v>220</v>
      </c>
      <c r="C24" s="475" t="s">
        <v>221</v>
      </c>
      <c r="E24" s="622"/>
      <c r="F24" s="485">
        <f>F95</f>
        <v>0</v>
      </c>
      <c r="G24" s="684">
        <f t="shared" ref="G24:L24" si="26">G95</f>
        <v>0</v>
      </c>
      <c r="H24" s="685">
        <f t="shared" si="26"/>
        <v>0</v>
      </c>
      <c r="I24" s="685">
        <f t="shared" si="26"/>
        <v>12000</v>
      </c>
      <c r="J24" s="685">
        <f t="shared" si="26"/>
        <v>0</v>
      </c>
      <c r="K24" s="685">
        <f t="shared" si="26"/>
        <v>0</v>
      </c>
      <c r="L24" s="684">
        <f t="shared" si="26"/>
        <v>12000</v>
      </c>
      <c r="M24" s="485" t="e">
        <f t="shared" ref="M24" si="27">#REF!</f>
        <v>#REF!</v>
      </c>
      <c r="N24" s="485" t="e">
        <f t="shared" ref="N24" si="28">#REF!</f>
        <v>#REF!</v>
      </c>
      <c r="O24" s="485" t="e">
        <f t="shared" ref="O24" si="29">#REF!</f>
        <v>#REF!</v>
      </c>
      <c r="P24" s="485" t="e">
        <f t="shared" ref="P24" si="30">#REF!</f>
        <v>#REF!</v>
      </c>
      <c r="Q24" s="513" t="e">
        <f t="shared" si="19"/>
        <v>#REF!</v>
      </c>
      <c r="R24" s="485" t="e">
        <f t="shared" ref="R24" si="31">#REF!</f>
        <v>#REF!</v>
      </c>
      <c r="S24" s="485" t="e">
        <f t="shared" ref="S24" si="32">#REF!</f>
        <v>#REF!</v>
      </c>
      <c r="T24" s="485" t="e">
        <f t="shared" ref="T24" si="33">#REF!</f>
        <v>#REF!</v>
      </c>
      <c r="U24" s="485" t="e">
        <f t="shared" ref="U24" si="34">#REF!</f>
        <v>#REF!</v>
      </c>
      <c r="V24" s="513" t="e">
        <f t="shared" si="24"/>
        <v>#REF!</v>
      </c>
      <c r="W24" s="513" t="e">
        <f t="shared" ref="W24" si="35">#REF!</f>
        <v>#REF!</v>
      </c>
      <c r="X24" s="469"/>
      <c r="Y24" s="530" t="s">
        <v>234</v>
      </c>
    </row>
    <row r="25" spans="2:27" s="534" customFormat="1" ht="23.45" hidden="1" customHeight="1" outlineLevel="1" x14ac:dyDescent="0.25">
      <c r="B25" s="748" t="s">
        <v>222</v>
      </c>
      <c r="C25" s="475" t="s">
        <v>223</v>
      </c>
      <c r="E25" s="623"/>
      <c r="F25" s="475">
        <f>F96</f>
        <v>25000</v>
      </c>
      <c r="G25" s="686">
        <f t="shared" ref="G25:L25" si="36">G96</f>
        <v>25000</v>
      </c>
      <c r="H25" s="687">
        <f t="shared" si="36"/>
        <v>25000</v>
      </c>
      <c r="I25" s="687">
        <f t="shared" si="36"/>
        <v>25000</v>
      </c>
      <c r="J25" s="687">
        <f t="shared" si="36"/>
        <v>25000</v>
      </c>
      <c r="K25" s="687">
        <f t="shared" si="36"/>
        <v>25000</v>
      </c>
      <c r="L25" s="686">
        <f t="shared" si="36"/>
        <v>100000</v>
      </c>
      <c r="M25" s="475" t="e">
        <f>#REF!</f>
        <v>#REF!</v>
      </c>
      <c r="N25" s="475" t="e">
        <f>#REF!</f>
        <v>#REF!</v>
      </c>
      <c r="O25" s="475" t="e">
        <f>#REF!</f>
        <v>#REF!</v>
      </c>
      <c r="P25" s="475" t="e">
        <f>#REF!</f>
        <v>#REF!</v>
      </c>
      <c r="Q25" s="513" t="e">
        <f t="shared" si="19"/>
        <v>#REF!</v>
      </c>
      <c r="R25" s="475" t="e">
        <f>#REF!</f>
        <v>#REF!</v>
      </c>
      <c r="S25" s="475" t="e">
        <f>#REF!</f>
        <v>#REF!</v>
      </c>
      <c r="T25" s="475" t="e">
        <f>#REF!</f>
        <v>#REF!</v>
      </c>
      <c r="U25" s="475" t="e">
        <f>#REF!</f>
        <v>#REF!</v>
      </c>
      <c r="V25" s="513" t="e">
        <f t="shared" si="24"/>
        <v>#REF!</v>
      </c>
      <c r="W25" s="513" t="e">
        <f>#REF!</f>
        <v>#REF!</v>
      </c>
      <c r="X25" s="469"/>
      <c r="Y25" s="530"/>
    </row>
    <row r="26" spans="2:27" s="534" customFormat="1" ht="18.600000000000001" customHeight="1" collapsed="1" x14ac:dyDescent="0.25">
      <c r="B26" s="749" t="s">
        <v>339</v>
      </c>
      <c r="E26" s="625"/>
      <c r="F26" s="728">
        <f>F98-F19-F112</f>
        <v>111027.22500000021</v>
      </c>
      <c r="G26" s="729">
        <f>G98-G19-G112</f>
        <v>111027.22500000021</v>
      </c>
      <c r="H26" s="730">
        <f>H98-H19-H112</f>
        <v>264103.22500000009</v>
      </c>
      <c r="I26" s="730">
        <f>I98-I19-I112</f>
        <v>276103.22500000009</v>
      </c>
      <c r="J26" s="730">
        <f>J98-J19-J112</f>
        <v>253890.22499999998</v>
      </c>
      <c r="K26" s="730">
        <v>231390.5</v>
      </c>
      <c r="L26" s="731">
        <f>SUM(H26:K26)</f>
        <v>1025487.1750000002</v>
      </c>
      <c r="M26" s="532">
        <f t="shared" ref="M26:W26" si="37">M98-M19-M112</f>
        <v>227975.80000000005</v>
      </c>
      <c r="N26" s="532">
        <f t="shared" si="37"/>
        <v>239975.84999999998</v>
      </c>
      <c r="O26" s="532">
        <f t="shared" si="37"/>
        <v>227975.84999999998</v>
      </c>
      <c r="P26" s="532">
        <f t="shared" si="37"/>
        <v>227975.84999999998</v>
      </c>
      <c r="Q26" s="532">
        <f t="shared" si="37"/>
        <v>923903.84999999963</v>
      </c>
      <c r="R26" s="532">
        <f t="shared" si="37"/>
        <v>227975.79999999993</v>
      </c>
      <c r="S26" s="532">
        <f t="shared" si="37"/>
        <v>239975.84999999998</v>
      </c>
      <c r="T26" s="532">
        <f t="shared" si="37"/>
        <v>227975.84999999998</v>
      </c>
      <c r="U26" s="532">
        <f t="shared" si="37"/>
        <v>227975.84999999986</v>
      </c>
      <c r="V26" s="532">
        <f t="shared" si="37"/>
        <v>923903.85000000009</v>
      </c>
      <c r="W26" s="532">
        <f t="shared" si="37"/>
        <v>2984322.2750000008</v>
      </c>
      <c r="X26" s="515"/>
      <c r="Y26" s="533"/>
      <c r="Z26" s="734">
        <f>SUM(H26:K26)</f>
        <v>1025487.1750000002</v>
      </c>
    </row>
    <row r="27" spans="2:27" s="509" customFormat="1" ht="19.5" customHeight="1" x14ac:dyDescent="0.25">
      <c r="B27" s="750" t="s">
        <v>327</v>
      </c>
      <c r="C27" s="539"/>
      <c r="D27" s="539"/>
      <c r="E27" s="660"/>
      <c r="F27" s="661">
        <f t="shared" ref="F27:W27" si="38">F19+F26</f>
        <v>662927.03100650257</v>
      </c>
      <c r="G27" s="739">
        <f t="shared" si="38"/>
        <v>662926.93100650248</v>
      </c>
      <c r="H27" s="740">
        <f t="shared" si="38"/>
        <v>973320.01225650241</v>
      </c>
      <c r="I27" s="740">
        <f t="shared" si="38"/>
        <v>902412.51225650241</v>
      </c>
      <c r="J27" s="740">
        <f t="shared" si="38"/>
        <v>960274.33933983569</v>
      </c>
      <c r="K27" s="740">
        <f t="shared" si="38"/>
        <v>910138.78100650234</v>
      </c>
      <c r="L27" s="739">
        <f t="shared" si="38"/>
        <v>3746144.3448593426</v>
      </c>
      <c r="M27" s="540">
        <f t="shared" si="38"/>
        <v>939599.03180682752</v>
      </c>
      <c r="N27" s="540">
        <f t="shared" si="38"/>
        <v>937432.36514016078</v>
      </c>
      <c r="O27" s="540">
        <f t="shared" si="38"/>
        <v>925432.36514016078</v>
      </c>
      <c r="P27" s="540">
        <f t="shared" si="38"/>
        <v>925432.36514016078</v>
      </c>
      <c r="Q27" s="540">
        <f t="shared" si="38"/>
        <v>3727895.2772273095</v>
      </c>
      <c r="R27" s="540">
        <f t="shared" si="38"/>
        <v>959951.00310550211</v>
      </c>
      <c r="S27" s="540">
        <f t="shared" si="38"/>
        <v>971950.99560550216</v>
      </c>
      <c r="T27" s="540">
        <f t="shared" si="38"/>
        <v>959950.99560550216</v>
      </c>
      <c r="U27" s="540">
        <f t="shared" si="38"/>
        <v>952867.66227216879</v>
      </c>
      <c r="V27" s="540">
        <f t="shared" si="38"/>
        <v>3844719.8065886754</v>
      </c>
      <c r="W27" s="529">
        <f t="shared" si="38"/>
        <v>11981686.534681831</v>
      </c>
      <c r="X27" s="525"/>
      <c r="Y27" s="530"/>
    </row>
    <row r="28" spans="2:27" s="525" customFormat="1" ht="11.1" customHeight="1" x14ac:dyDescent="0.25">
      <c r="B28" s="702"/>
      <c r="C28" s="528"/>
      <c r="D28" s="528"/>
      <c r="E28" s="524"/>
      <c r="F28" s="519"/>
      <c r="G28" s="628"/>
      <c r="H28" s="519"/>
      <c r="I28" s="519"/>
      <c r="J28" s="519"/>
      <c r="K28" s="519"/>
      <c r="L28" s="628"/>
      <c r="M28" s="519"/>
      <c r="N28" s="519"/>
      <c r="O28" s="519"/>
      <c r="P28" s="519"/>
      <c r="Q28" s="519"/>
      <c r="R28" s="519"/>
      <c r="S28" s="519"/>
      <c r="T28" s="519"/>
      <c r="U28" s="519"/>
      <c r="V28" s="519"/>
      <c r="W28" s="519"/>
      <c r="X28" s="519"/>
    </row>
    <row r="29" spans="2:27" s="525" customFormat="1" ht="17.100000000000001" hidden="1" customHeight="1" outlineLevel="1" x14ac:dyDescent="0.25">
      <c r="B29" s="751" t="s">
        <v>251</v>
      </c>
      <c r="C29" s="528"/>
      <c r="D29" s="528"/>
      <c r="E29" s="524"/>
      <c r="F29" s="519"/>
      <c r="G29" s="628"/>
      <c r="H29" s="519"/>
      <c r="I29" s="519"/>
      <c r="J29" s="519"/>
      <c r="K29" s="519"/>
      <c r="L29" s="628"/>
      <c r="M29" s="519"/>
      <c r="N29" s="519"/>
      <c r="O29" s="519"/>
      <c r="P29" s="519"/>
      <c r="Q29" s="519"/>
      <c r="R29" s="519"/>
      <c r="S29" s="519"/>
      <c r="T29" s="519"/>
      <c r="U29" s="519"/>
      <c r="V29" s="519"/>
      <c r="W29" s="519"/>
      <c r="X29" s="519"/>
    </row>
    <row r="30" spans="2:27" s="534" customFormat="1" ht="17.100000000000001" hidden="1" customHeight="1" outlineLevel="2" x14ac:dyDescent="0.25">
      <c r="B30" s="547" t="s">
        <v>313</v>
      </c>
      <c r="C30" s="475" t="s">
        <v>195</v>
      </c>
      <c r="E30" s="489"/>
      <c r="F30" s="490">
        <f>100000</f>
        <v>100000</v>
      </c>
      <c r="G30" s="663">
        <f>SUM(E30:F30)</f>
        <v>100000</v>
      </c>
      <c r="H30" s="488"/>
      <c r="I30" s="488"/>
      <c r="J30" s="488"/>
      <c r="K30" s="488"/>
      <c r="L30" s="663"/>
      <c r="M30" s="483"/>
      <c r="N30" s="483"/>
      <c r="O30" s="483"/>
      <c r="P30" s="483"/>
      <c r="Q30" s="467"/>
      <c r="R30" s="483"/>
      <c r="S30" s="483"/>
      <c r="T30" s="483"/>
      <c r="U30" s="483"/>
      <c r="V30" s="467"/>
      <c r="W30" s="468">
        <f>G30+L30+Q30+V30</f>
        <v>100000</v>
      </c>
      <c r="X30" s="469"/>
      <c r="Y30" s="533"/>
    </row>
    <row r="31" spans="2:27" s="534" customFormat="1" ht="17.100000000000001" hidden="1" customHeight="1" outlineLevel="2" x14ac:dyDescent="0.25">
      <c r="B31" s="547" t="s">
        <v>270</v>
      </c>
      <c r="C31" s="475"/>
      <c r="E31" s="489"/>
      <c r="F31" s="490">
        <f>'Recoverable units'!F20</f>
        <v>164003.40000000002</v>
      </c>
      <c r="G31" s="663">
        <f>SUM(E31:F31)</f>
        <v>164003.40000000002</v>
      </c>
      <c r="H31" s="488"/>
      <c r="I31" s="488"/>
      <c r="J31" s="488"/>
      <c r="K31" s="488"/>
      <c r="L31" s="663"/>
      <c r="M31" s="483"/>
      <c r="N31" s="483"/>
      <c r="O31" s="483"/>
      <c r="P31" s="483"/>
      <c r="Q31" s="467"/>
      <c r="R31" s="483"/>
      <c r="S31" s="483"/>
      <c r="T31" s="483"/>
      <c r="U31" s="483"/>
      <c r="V31" s="467"/>
      <c r="W31" s="468">
        <f>G31+L31+Q31+V31</f>
        <v>164003.40000000002</v>
      </c>
      <c r="X31" s="469"/>
      <c r="Y31" s="530"/>
    </row>
    <row r="32" spans="2:27" s="534" customFormat="1" ht="17.100000000000001" hidden="1" customHeight="1" outlineLevel="1" x14ac:dyDescent="0.25">
      <c r="B32" s="547"/>
      <c r="C32" s="475"/>
      <c r="E32" s="710"/>
      <c r="F32" s="565"/>
      <c r="G32" s="664"/>
      <c r="H32" s="469"/>
      <c r="I32" s="513"/>
      <c r="J32" s="513"/>
      <c r="K32" s="513"/>
      <c r="L32" s="664"/>
      <c r="M32" s="471"/>
      <c r="N32" s="475"/>
      <c r="O32" s="475"/>
      <c r="P32" s="475"/>
      <c r="Q32" s="470"/>
      <c r="R32" s="471"/>
      <c r="S32" s="475"/>
      <c r="T32" s="475"/>
      <c r="U32" s="475"/>
      <c r="V32" s="470"/>
      <c r="W32" s="473"/>
      <c r="X32" s="469"/>
      <c r="Y32" s="533"/>
    </row>
    <row r="33" spans="2:44" s="508" customFormat="1" ht="17.100000000000001" hidden="1" customHeight="1" outlineLevel="1" collapsed="1" x14ac:dyDescent="0.25">
      <c r="B33" s="751" t="s">
        <v>198</v>
      </c>
      <c r="C33" s="543"/>
      <c r="D33" s="544"/>
      <c r="E33" s="624"/>
      <c r="F33" s="485"/>
      <c r="G33" s="664"/>
      <c r="H33" s="471"/>
      <c r="I33" s="471"/>
      <c r="J33" s="471"/>
      <c r="K33" s="471"/>
      <c r="L33" s="664"/>
      <c r="M33" s="471"/>
      <c r="N33" s="471"/>
      <c r="O33" s="471"/>
      <c r="P33" s="471"/>
      <c r="Q33" s="470"/>
      <c r="R33" s="471"/>
      <c r="S33" s="471"/>
      <c r="T33" s="471"/>
      <c r="U33" s="471"/>
      <c r="V33" s="470"/>
      <c r="W33" s="473"/>
      <c r="X33" s="469"/>
      <c r="Y33" s="545"/>
    </row>
    <row r="34" spans="2:44" s="508" customFormat="1" ht="17.100000000000001" hidden="1" customHeight="1" outlineLevel="2" x14ac:dyDescent="0.25">
      <c r="B34" s="751"/>
      <c r="C34" s="543"/>
      <c r="D34" s="544"/>
      <c r="E34" s="624"/>
      <c r="F34" s="485"/>
      <c r="G34" s="664"/>
      <c r="H34" s="471"/>
      <c r="I34" s="471"/>
      <c r="J34" s="471"/>
      <c r="K34" s="471"/>
      <c r="L34" s="664"/>
      <c r="M34" s="471"/>
      <c r="N34" s="471"/>
      <c r="O34" s="471"/>
      <c r="P34" s="471"/>
      <c r="Q34" s="470"/>
      <c r="R34" s="471"/>
      <c r="S34" s="471"/>
      <c r="T34" s="471"/>
      <c r="U34" s="471"/>
      <c r="V34" s="470"/>
      <c r="W34" s="473"/>
      <c r="X34" s="469"/>
      <c r="Y34" s="545"/>
    </row>
    <row r="35" spans="2:44" s="508" customFormat="1" ht="17.100000000000001" hidden="1" customHeight="1" outlineLevel="3" x14ac:dyDescent="0.25">
      <c r="B35" s="752" t="s">
        <v>199</v>
      </c>
      <c r="C35" s="543"/>
      <c r="D35" s="544"/>
      <c r="E35" s="624"/>
      <c r="F35" s="485"/>
      <c r="G35" s="664"/>
      <c r="H35" s="472">
        <v>0</v>
      </c>
      <c r="I35" s="471"/>
      <c r="J35" s="471"/>
      <c r="K35" s="471"/>
      <c r="L35" s="664"/>
      <c r="M35" s="472">
        <v>0.05</v>
      </c>
      <c r="N35" s="471"/>
      <c r="O35" s="471"/>
      <c r="P35" s="471"/>
      <c r="Q35" s="470"/>
      <c r="R35" s="472">
        <f>M35</f>
        <v>0.05</v>
      </c>
      <c r="S35" s="471"/>
      <c r="T35" s="471"/>
      <c r="U35" s="471"/>
      <c r="V35" s="470"/>
      <c r="W35" s="473"/>
      <c r="X35" s="469"/>
      <c r="Y35" s="546"/>
    </row>
    <row r="36" spans="2:44" s="534" customFormat="1" ht="17.100000000000001" hidden="1" customHeight="1" outlineLevel="2" x14ac:dyDescent="0.25">
      <c r="B36" s="703" t="s">
        <v>200</v>
      </c>
      <c r="C36" s="475" t="s">
        <v>78</v>
      </c>
      <c r="D36" s="513"/>
      <c r="E36" s="710"/>
      <c r="F36" s="475">
        <f>[1]Sheet1!$G$30/4</f>
        <v>224588.32383066136</v>
      </c>
      <c r="G36" s="664">
        <f>SUM(E36:F36)</f>
        <v>224588.32383066136</v>
      </c>
      <c r="H36" s="471">
        <f>F36*(1+H35)</f>
        <v>224588.32383066136</v>
      </c>
      <c r="I36" s="475">
        <f>H36</f>
        <v>224588.32383066136</v>
      </c>
      <c r="J36" s="475">
        <f>I36</f>
        <v>224588.32383066136</v>
      </c>
      <c r="K36" s="475">
        <f>J36</f>
        <v>224588.32383066136</v>
      </c>
      <c r="L36" s="664">
        <f>SUM(H36:K36)</f>
        <v>898353.29532264546</v>
      </c>
      <c r="M36" s="471">
        <f>H36*(1+M35)</f>
        <v>235817.74002219446</v>
      </c>
      <c r="N36" s="476">
        <f>M36</f>
        <v>235817.74002219446</v>
      </c>
      <c r="O36" s="476">
        <f t="shared" ref="O36:P36" si="39">N36</f>
        <v>235817.74002219446</v>
      </c>
      <c r="P36" s="476">
        <f t="shared" si="39"/>
        <v>235817.74002219446</v>
      </c>
      <c r="Q36" s="470">
        <f>SUM(M36:P36)</f>
        <v>943270.96008877782</v>
      </c>
      <c r="R36" s="471">
        <f>M36*(1+R35)</f>
        <v>247608.6270233042</v>
      </c>
      <c r="S36" s="475">
        <f>R36</f>
        <v>247608.6270233042</v>
      </c>
      <c r="T36" s="475">
        <f>S36</f>
        <v>247608.6270233042</v>
      </c>
      <c r="U36" s="475">
        <f>T36</f>
        <v>247608.6270233042</v>
      </c>
      <c r="V36" s="470">
        <f>SUM(R36:U36)</f>
        <v>990434.50809321681</v>
      </c>
      <c r="W36" s="473">
        <f t="shared" ref="W36:W58" si="40">G36+L36+Q36+V36</f>
        <v>3056647.0873353016</v>
      </c>
      <c r="X36" s="469"/>
      <c r="Y36" s="770"/>
      <c r="Z36" s="770"/>
      <c r="AA36" s="770"/>
      <c r="AB36" s="770"/>
      <c r="AC36" s="770"/>
      <c r="AD36" s="770"/>
      <c r="AE36" s="770"/>
      <c r="AF36" s="770"/>
      <c r="AG36" s="770"/>
      <c r="AH36" s="770"/>
    </row>
    <row r="37" spans="2:44" s="534" customFormat="1" ht="17.100000000000001" hidden="1" customHeight="1" outlineLevel="3" x14ac:dyDescent="0.25">
      <c r="B37" s="752" t="s">
        <v>201</v>
      </c>
      <c r="C37" s="475"/>
      <c r="D37" s="513"/>
      <c r="E37" s="710"/>
      <c r="F37" s="472"/>
      <c r="G37" s="665"/>
      <c r="H37" s="472">
        <v>0</v>
      </c>
      <c r="I37" s="472"/>
      <c r="J37" s="472"/>
      <c r="K37" s="472"/>
      <c r="L37" s="665"/>
      <c r="M37" s="472">
        <v>0.05</v>
      </c>
      <c r="N37" s="472"/>
      <c r="O37" s="472"/>
      <c r="P37" s="472"/>
      <c r="Q37" s="477"/>
      <c r="R37" s="472">
        <f>M37</f>
        <v>0.05</v>
      </c>
      <c r="S37" s="472"/>
      <c r="T37" s="472"/>
      <c r="U37" s="472"/>
      <c r="V37" s="477"/>
      <c r="W37" s="478">
        <f t="shared" si="40"/>
        <v>0</v>
      </c>
      <c r="X37" s="472"/>
      <c r="Y37" s="546"/>
      <c r="Z37" s="546"/>
      <c r="AA37" s="546"/>
      <c r="AB37" s="546"/>
      <c r="AC37" s="546"/>
      <c r="AD37" s="546"/>
      <c r="AE37" s="546"/>
      <c r="AF37" s="546"/>
      <c r="AG37" s="546"/>
      <c r="AH37" s="546"/>
    </row>
    <row r="38" spans="2:44" s="534" customFormat="1" ht="17.100000000000001" hidden="1" customHeight="1" outlineLevel="2" x14ac:dyDescent="0.25">
      <c r="B38" s="703" t="s">
        <v>202</v>
      </c>
      <c r="C38" s="475" t="s">
        <v>78</v>
      </c>
      <c r="D38" s="513"/>
      <c r="E38" s="710"/>
      <c r="F38" s="475">
        <f>[1]Sheet1!$K$32/4</f>
        <v>27955.075957601541</v>
      </c>
      <c r="G38" s="664">
        <f>SUM(E38:F38)</f>
        <v>27955.075957601541</v>
      </c>
      <c r="H38" s="471">
        <f>F38*(1+H37)</f>
        <v>27955.075957601541</v>
      </c>
      <c r="I38" s="475">
        <f>H38</f>
        <v>27955.075957601541</v>
      </c>
      <c r="J38" s="475">
        <f>I38</f>
        <v>27955.075957601541</v>
      </c>
      <c r="K38" s="475">
        <f>J38</f>
        <v>27955.075957601541</v>
      </c>
      <c r="L38" s="664">
        <f>SUM(H38:K38)</f>
        <v>111820.30383040616</v>
      </c>
      <c r="M38" s="471">
        <f>H38*(1+M37)</f>
        <v>29352.82975548162</v>
      </c>
      <c r="N38" s="476">
        <f t="shared" ref="N38:P42" si="41">M38</f>
        <v>29352.82975548162</v>
      </c>
      <c r="O38" s="476">
        <f t="shared" si="41"/>
        <v>29352.82975548162</v>
      </c>
      <c r="P38" s="476">
        <f t="shared" si="41"/>
        <v>29352.82975548162</v>
      </c>
      <c r="Q38" s="470">
        <f>SUM(M38:P38)</f>
        <v>117411.31902192648</v>
      </c>
      <c r="R38" s="471">
        <f>M38*(1+R37)</f>
        <v>30820.471243255703</v>
      </c>
      <c r="S38" s="475">
        <f>R38</f>
        <v>30820.471243255703</v>
      </c>
      <c r="T38" s="475">
        <f>S38</f>
        <v>30820.471243255703</v>
      </c>
      <c r="U38" s="475">
        <f>T38</f>
        <v>30820.471243255703</v>
      </c>
      <c r="V38" s="470">
        <f>SUM(R38:U38)</f>
        <v>123281.88497302281</v>
      </c>
      <c r="W38" s="473">
        <f t="shared" si="40"/>
        <v>380468.58378295699</v>
      </c>
      <c r="X38" s="469"/>
      <c r="Y38" s="770"/>
      <c r="Z38" s="770"/>
      <c r="AA38" s="770"/>
      <c r="AB38" s="770"/>
      <c r="AC38" s="770"/>
      <c r="AD38" s="770"/>
      <c r="AE38" s="770"/>
      <c r="AF38" s="770"/>
      <c r="AG38" s="770"/>
      <c r="AH38" s="770"/>
    </row>
    <row r="39" spans="2:44" s="534" customFormat="1" ht="17.100000000000001" hidden="1" customHeight="1" outlineLevel="3" x14ac:dyDescent="0.25">
      <c r="B39" s="752" t="s">
        <v>203</v>
      </c>
      <c r="C39" s="475"/>
      <c r="D39" s="513"/>
      <c r="E39" s="710"/>
      <c r="F39" s="472">
        <v>0.15</v>
      </c>
      <c r="G39" s="665">
        <f>F39</f>
        <v>0.15</v>
      </c>
      <c r="H39" s="472">
        <f>G39</f>
        <v>0.15</v>
      </c>
      <c r="I39" s="472">
        <f t="shared" ref="I39:V39" si="42">H39</f>
        <v>0.15</v>
      </c>
      <c r="J39" s="472">
        <f t="shared" si="42"/>
        <v>0.15</v>
      </c>
      <c r="K39" s="472">
        <f t="shared" si="42"/>
        <v>0.15</v>
      </c>
      <c r="L39" s="665">
        <f t="shared" si="42"/>
        <v>0.15</v>
      </c>
      <c r="M39" s="472">
        <f>L39</f>
        <v>0.15</v>
      </c>
      <c r="N39" s="472">
        <f t="shared" si="42"/>
        <v>0.15</v>
      </c>
      <c r="O39" s="472">
        <f t="shared" si="42"/>
        <v>0.15</v>
      </c>
      <c r="P39" s="472">
        <f t="shared" si="42"/>
        <v>0.15</v>
      </c>
      <c r="Q39" s="477">
        <f t="shared" si="42"/>
        <v>0.15</v>
      </c>
      <c r="R39" s="472">
        <f t="shared" si="42"/>
        <v>0.15</v>
      </c>
      <c r="S39" s="472">
        <f t="shared" si="42"/>
        <v>0.15</v>
      </c>
      <c r="T39" s="472">
        <f t="shared" si="42"/>
        <v>0.15</v>
      </c>
      <c r="U39" s="472">
        <f t="shared" si="42"/>
        <v>0.15</v>
      </c>
      <c r="V39" s="477">
        <f t="shared" si="42"/>
        <v>0.15</v>
      </c>
      <c r="W39" s="478">
        <f t="shared" si="40"/>
        <v>0.6</v>
      </c>
      <c r="X39" s="472"/>
      <c r="Y39" s="546"/>
      <c r="Z39" s="546"/>
      <c r="AA39" s="546"/>
      <c r="AB39" s="546"/>
      <c r="AC39" s="546"/>
      <c r="AD39" s="546"/>
      <c r="AE39" s="546"/>
      <c r="AF39" s="546"/>
      <c r="AG39" s="546"/>
      <c r="AH39" s="546"/>
    </row>
    <row r="40" spans="2:44" s="534" customFormat="1" ht="17.100000000000001" hidden="1" customHeight="1" outlineLevel="2" x14ac:dyDescent="0.25">
      <c r="B40" s="703" t="s">
        <v>204</v>
      </c>
      <c r="C40" s="475" t="s">
        <v>78</v>
      </c>
      <c r="D40" s="513"/>
      <c r="E40" s="710"/>
      <c r="F40" s="475">
        <f>SUM(F36:F38)*$F$39</f>
        <v>37881.509968239436</v>
      </c>
      <c r="G40" s="664">
        <f>SUM(E40:F40)</f>
        <v>37881.509968239436</v>
      </c>
      <c r="H40" s="475">
        <f>SUM(H36:H38)*$F$39</f>
        <v>37881.509968239436</v>
      </c>
      <c r="I40" s="475">
        <f>SUM(I36:I38)*$F$39</f>
        <v>37881.509968239436</v>
      </c>
      <c r="J40" s="475">
        <f>SUM(J36:J38)*$F$39</f>
        <v>37881.509968239436</v>
      </c>
      <c r="K40" s="475">
        <f>SUM(K36:K38)*$F$39</f>
        <v>37881.509968239436</v>
      </c>
      <c r="L40" s="664">
        <f>SUM(H40:K40)</f>
        <v>151526.03987295774</v>
      </c>
      <c r="M40" s="475">
        <f>SUM(M36:M38)*$F$39</f>
        <v>39775.592966651406</v>
      </c>
      <c r="N40" s="476">
        <f t="shared" si="41"/>
        <v>39775.592966651406</v>
      </c>
      <c r="O40" s="476">
        <f t="shared" si="41"/>
        <v>39775.592966651406</v>
      </c>
      <c r="P40" s="476">
        <f t="shared" si="41"/>
        <v>39775.592966651406</v>
      </c>
      <c r="Q40" s="470">
        <f>SUM(M40:P40)</f>
        <v>159102.37186660562</v>
      </c>
      <c r="R40" s="475">
        <f>SUM(R36:R38)*$F$39</f>
        <v>41764.372239983983</v>
      </c>
      <c r="S40" s="475">
        <f>SUM(S36:S38)*$F$39</f>
        <v>41764.364739983983</v>
      </c>
      <c r="T40" s="475">
        <f>SUM(T36:T38)*$F$39</f>
        <v>41764.364739983983</v>
      </c>
      <c r="U40" s="475">
        <f>SUM(U36:U38)*$F$39</f>
        <v>41764.364739983983</v>
      </c>
      <c r="V40" s="470">
        <f>SUM(R40:U40)</f>
        <v>167057.46645993594</v>
      </c>
      <c r="W40" s="473">
        <f t="shared" si="40"/>
        <v>515567.38816773874</v>
      </c>
      <c r="X40" s="469"/>
    </row>
    <row r="41" spans="2:44" s="534" customFormat="1" ht="17.100000000000001" hidden="1" customHeight="1" outlineLevel="2" x14ac:dyDescent="0.25">
      <c r="B41" s="703" t="s">
        <v>205</v>
      </c>
      <c r="C41" s="475" t="s">
        <v>78</v>
      </c>
      <c r="D41" s="513"/>
      <c r="E41" s="710"/>
      <c r="F41" s="471">
        <f>((85000/18)*3)+(85000/36)*3</f>
        <v>21250</v>
      </c>
      <c r="G41" s="666">
        <f>SUM(E41:F41)</f>
        <v>21250</v>
      </c>
      <c r="H41" s="471">
        <f>F41</f>
        <v>21250</v>
      </c>
      <c r="I41" s="471">
        <f>H41</f>
        <v>21250</v>
      </c>
      <c r="J41" s="471">
        <f>I41</f>
        <v>21250</v>
      </c>
      <c r="K41" s="471">
        <f>J41</f>
        <v>21250</v>
      </c>
      <c r="L41" s="666">
        <f>SUM(H41:K41)</f>
        <v>85000</v>
      </c>
      <c r="M41" s="471">
        <f>K41</f>
        <v>21250</v>
      </c>
      <c r="N41" s="479">
        <f>(85000/36)*3</f>
        <v>7083.3333333333339</v>
      </c>
      <c r="O41" s="471">
        <f t="shared" si="41"/>
        <v>7083.3333333333339</v>
      </c>
      <c r="P41" s="471">
        <f t="shared" si="41"/>
        <v>7083.3333333333339</v>
      </c>
      <c r="Q41" s="480">
        <f>SUM(M41:P41)</f>
        <v>42500.000000000007</v>
      </c>
      <c r="R41" s="471">
        <f>N41</f>
        <v>7083.3333333333339</v>
      </c>
      <c r="S41" s="471">
        <f>R41</f>
        <v>7083.3333333333339</v>
      </c>
      <c r="T41" s="471">
        <f>S41</f>
        <v>7083.3333333333339</v>
      </c>
      <c r="U41" s="471"/>
      <c r="V41" s="480">
        <f t="shared" ref="V41:V57" si="43">SUM(R41:U41)</f>
        <v>21250</v>
      </c>
      <c r="W41" s="481">
        <f t="shared" si="40"/>
        <v>170000</v>
      </c>
      <c r="X41" s="469"/>
      <c r="Y41" s="770"/>
      <c r="Z41" s="770"/>
      <c r="AA41" s="770"/>
      <c r="AB41" s="770"/>
      <c r="AC41" s="770"/>
      <c r="AD41" s="770"/>
      <c r="AE41" s="770"/>
      <c r="AF41" s="770"/>
      <c r="AG41" s="770"/>
      <c r="AH41" s="770"/>
    </row>
    <row r="42" spans="2:44" s="534" customFormat="1" ht="17.100000000000001" hidden="1" customHeight="1" outlineLevel="2" x14ac:dyDescent="0.25">
      <c r="B42" s="703" t="s">
        <v>206</v>
      </c>
      <c r="C42" s="475" t="s">
        <v>78</v>
      </c>
      <c r="D42" s="513"/>
      <c r="E42" s="489"/>
      <c r="F42" s="483">
        <v>0</v>
      </c>
      <c r="G42" s="663">
        <f>SUM(E42:F42)</f>
        <v>0</v>
      </c>
      <c r="H42" s="483">
        <v>0</v>
      </c>
      <c r="I42" s="483">
        <v>0</v>
      </c>
      <c r="J42" s="483">
        <v>0</v>
      </c>
      <c r="K42" s="483">
        <v>0</v>
      </c>
      <c r="L42" s="663">
        <f>SUM(H42:K42)</f>
        <v>0</v>
      </c>
      <c r="M42" s="483">
        <v>0</v>
      </c>
      <c r="N42" s="483">
        <f>M42</f>
        <v>0</v>
      </c>
      <c r="O42" s="483">
        <f t="shared" si="41"/>
        <v>0</v>
      </c>
      <c r="P42" s="483">
        <f t="shared" si="41"/>
        <v>0</v>
      </c>
      <c r="Q42" s="467">
        <f t="shared" ref="Q42:Q57" si="44">SUM(M42:P42)</f>
        <v>0</v>
      </c>
      <c r="R42" s="483">
        <v>0</v>
      </c>
      <c r="S42" s="483">
        <v>0</v>
      </c>
      <c r="T42" s="483">
        <v>0</v>
      </c>
      <c r="U42" s="483">
        <v>0</v>
      </c>
      <c r="V42" s="467">
        <f t="shared" si="43"/>
        <v>0</v>
      </c>
      <c r="W42" s="468">
        <f t="shared" si="40"/>
        <v>0</v>
      </c>
      <c r="X42" s="469"/>
      <c r="Y42" s="530"/>
      <c r="Z42" s="530"/>
      <c r="AA42" s="546"/>
      <c r="AB42" s="546"/>
      <c r="AC42" s="546"/>
      <c r="AD42" s="546"/>
      <c r="AE42" s="546"/>
      <c r="AF42" s="546"/>
      <c r="AG42" s="546"/>
      <c r="AH42" s="546"/>
    </row>
    <row r="43" spans="2:44" s="534" customFormat="1" ht="17.100000000000001" hidden="1" customHeight="1" outlineLevel="1" x14ac:dyDescent="0.25">
      <c r="B43" s="547" t="s">
        <v>207</v>
      </c>
      <c r="C43" s="475" t="s">
        <v>78</v>
      </c>
      <c r="D43" s="513"/>
      <c r="E43" s="710"/>
      <c r="F43" s="475">
        <f>SUM(F36:F42)</f>
        <v>311675.05975650233</v>
      </c>
      <c r="G43" s="664">
        <f>SUM(E43:F43)</f>
        <v>311675.05975650233</v>
      </c>
      <c r="H43" s="471">
        <f t="shared" ref="H43:V43" si="45">SUM(H36:H42)</f>
        <v>311675.05975650233</v>
      </c>
      <c r="I43" s="471">
        <f t="shared" si="45"/>
        <v>311675.05975650233</v>
      </c>
      <c r="J43" s="471">
        <f t="shared" si="45"/>
        <v>311675.05975650233</v>
      </c>
      <c r="K43" s="471">
        <f t="shared" si="45"/>
        <v>311675.05975650233</v>
      </c>
      <c r="L43" s="664">
        <f t="shared" si="45"/>
        <v>1246699.7890260094</v>
      </c>
      <c r="M43" s="471">
        <f t="shared" si="45"/>
        <v>326196.36274432752</v>
      </c>
      <c r="N43" s="475">
        <f t="shared" si="45"/>
        <v>312029.64607766084</v>
      </c>
      <c r="O43" s="475">
        <f t="shared" si="45"/>
        <v>312029.64607766084</v>
      </c>
      <c r="P43" s="475">
        <f t="shared" si="45"/>
        <v>312029.64607766084</v>
      </c>
      <c r="Q43" s="470">
        <f t="shared" si="45"/>
        <v>1262284.8009773099</v>
      </c>
      <c r="R43" s="471">
        <f t="shared" si="45"/>
        <v>327277.0038398772</v>
      </c>
      <c r="S43" s="475">
        <f t="shared" si="45"/>
        <v>327276.94633987721</v>
      </c>
      <c r="T43" s="475">
        <f t="shared" si="45"/>
        <v>327276.94633987721</v>
      </c>
      <c r="U43" s="475">
        <f t="shared" si="45"/>
        <v>320193.61300654389</v>
      </c>
      <c r="V43" s="470">
        <f t="shared" si="45"/>
        <v>1302024.0095261754</v>
      </c>
      <c r="W43" s="473">
        <f t="shared" si="40"/>
        <v>4122683.659285997</v>
      </c>
      <c r="X43" s="469"/>
      <c r="Y43" s="530"/>
      <c r="AI43" s="764" t="s">
        <v>241</v>
      </c>
      <c r="AJ43" s="764"/>
      <c r="AK43" s="764"/>
      <c r="AL43" s="764"/>
      <c r="AM43" s="764"/>
      <c r="AN43" s="764"/>
      <c r="AO43" s="764"/>
      <c r="AP43" s="764"/>
      <c r="AQ43" s="764"/>
      <c r="AR43" s="764"/>
    </row>
    <row r="44" spans="2:44" s="534" customFormat="1" ht="17.100000000000001" hidden="1" customHeight="1" outlineLevel="2" x14ac:dyDescent="0.25">
      <c r="B44" s="753" t="s">
        <v>208</v>
      </c>
      <c r="C44" s="475"/>
      <c r="D44" s="513"/>
      <c r="E44" s="710"/>
      <c r="F44" s="548">
        <f>5000/4</f>
        <v>1250</v>
      </c>
      <c r="G44" s="667">
        <f t="shared" ref="G44:G51" si="46">SUM(E44:F44)</f>
        <v>1250</v>
      </c>
      <c r="H44" s="548">
        <f>F44</f>
        <v>1250</v>
      </c>
      <c r="I44" s="548">
        <f>H44</f>
        <v>1250</v>
      </c>
      <c r="J44" s="548">
        <f>I44</f>
        <v>1250</v>
      </c>
      <c r="K44" s="548">
        <f>J44</f>
        <v>1250</v>
      </c>
      <c r="L44" s="664">
        <f t="shared" ref="L44:L57" si="47">SUM(H44:K44)</f>
        <v>5000</v>
      </c>
      <c r="M44" s="548">
        <f>H44</f>
        <v>1250</v>
      </c>
      <c r="N44" s="548">
        <f>I44</f>
        <v>1250</v>
      </c>
      <c r="O44" s="548">
        <f>J44</f>
        <v>1250</v>
      </c>
      <c r="P44" s="548">
        <f>K44</f>
        <v>1250</v>
      </c>
      <c r="Q44" s="470">
        <f t="shared" si="44"/>
        <v>5000</v>
      </c>
      <c r="R44" s="548">
        <f>M44</f>
        <v>1250</v>
      </c>
      <c r="S44" s="548">
        <f t="shared" ref="S44:U44" si="48">N44</f>
        <v>1250</v>
      </c>
      <c r="T44" s="548">
        <f t="shared" si="48"/>
        <v>1250</v>
      </c>
      <c r="U44" s="548">
        <f t="shared" si="48"/>
        <v>1250</v>
      </c>
      <c r="V44" s="470">
        <f t="shared" si="43"/>
        <v>5000</v>
      </c>
      <c r="W44" s="473">
        <f t="shared" si="40"/>
        <v>16250</v>
      </c>
      <c r="X44" s="469"/>
      <c r="Y44" s="546"/>
      <c r="Z44" s="546"/>
      <c r="AA44" s="546"/>
      <c r="AB44" s="546"/>
      <c r="AC44" s="546"/>
      <c r="AD44" s="546"/>
      <c r="AE44" s="546"/>
      <c r="AF44" s="546"/>
      <c r="AG44" s="546"/>
      <c r="AH44" s="546"/>
    </row>
    <row r="45" spans="2:44" s="534" customFormat="1" ht="17.100000000000001" hidden="1" customHeight="1" outlineLevel="1" x14ac:dyDescent="0.25">
      <c r="B45" s="547" t="s">
        <v>209</v>
      </c>
      <c r="C45" s="475" t="s">
        <v>238</v>
      </c>
      <c r="E45" s="710"/>
      <c r="F45" s="475">
        <f>F12*$F44</f>
        <v>17500</v>
      </c>
      <c r="G45" s="664">
        <f t="shared" si="46"/>
        <v>17500</v>
      </c>
      <c r="H45" s="471">
        <f>H12*$F44</f>
        <v>17500</v>
      </c>
      <c r="I45" s="471">
        <f>I12*$F44</f>
        <v>17500</v>
      </c>
      <c r="J45" s="471">
        <f>J12*$F44</f>
        <v>17500</v>
      </c>
      <c r="K45" s="471">
        <f>K12*$F44</f>
        <v>17500</v>
      </c>
      <c r="L45" s="664">
        <f t="shared" si="47"/>
        <v>70000</v>
      </c>
      <c r="M45" s="471">
        <f>M12*$F44</f>
        <v>17500</v>
      </c>
      <c r="N45" s="471">
        <f>N12*$F44</f>
        <v>17500</v>
      </c>
      <c r="O45" s="471">
        <f>O12*$F44</f>
        <v>17500</v>
      </c>
      <c r="P45" s="471">
        <f>P12*$F44</f>
        <v>17500</v>
      </c>
      <c r="Q45" s="470">
        <f t="shared" si="44"/>
        <v>70000</v>
      </c>
      <c r="R45" s="471">
        <f>R12*$F44</f>
        <v>17500</v>
      </c>
      <c r="S45" s="471">
        <f>S12*$F44</f>
        <v>17500</v>
      </c>
      <c r="T45" s="471">
        <f>T12*$F44</f>
        <v>17500</v>
      </c>
      <c r="U45" s="471">
        <f>U12*$F44</f>
        <v>17500</v>
      </c>
      <c r="V45" s="470">
        <f t="shared" si="43"/>
        <v>70000</v>
      </c>
      <c r="W45" s="473">
        <f t="shared" si="40"/>
        <v>227500</v>
      </c>
      <c r="X45" s="469"/>
      <c r="Z45" s="546"/>
      <c r="AA45" s="546"/>
      <c r="AB45" s="546"/>
      <c r="AC45" s="546"/>
      <c r="AD45" s="546"/>
      <c r="AE45" s="546"/>
      <c r="AF45" s="546"/>
      <c r="AG45" s="546"/>
      <c r="AH45" s="546"/>
    </row>
    <row r="46" spans="2:44" s="534" customFormat="1" ht="17.100000000000001" hidden="1" customHeight="1" outlineLevel="1" x14ac:dyDescent="0.25">
      <c r="B46" s="547" t="s">
        <v>210</v>
      </c>
      <c r="C46" s="475" t="s">
        <v>211</v>
      </c>
      <c r="E46" s="711"/>
      <c r="F46" s="471">
        <f>'8) Facilities'!I41</f>
        <v>22963</v>
      </c>
      <c r="G46" s="664">
        <f t="shared" si="46"/>
        <v>22963</v>
      </c>
      <c r="H46" s="471">
        <f>'8) Facilities'!J41/H14*H12</f>
        <v>95544.076923076922</v>
      </c>
      <c r="I46" s="471">
        <f>'8) Facilities'!K41/I14*I12</f>
        <v>95544.076923076922</v>
      </c>
      <c r="J46" s="471">
        <f>'8) Facilities'!L41/J14*J12</f>
        <v>77238</v>
      </c>
      <c r="K46" s="471">
        <f>'8) Facilities'!M41/K14*K12</f>
        <v>77238</v>
      </c>
      <c r="L46" s="664">
        <f t="shared" si="47"/>
        <v>345564.15384615387</v>
      </c>
      <c r="M46" s="538">
        <f>K46</f>
        <v>77238</v>
      </c>
      <c r="N46" s="538">
        <f>M46</f>
        <v>77238</v>
      </c>
      <c r="O46" s="538">
        <f t="shared" ref="O46:P46" si="49">M46</f>
        <v>77238</v>
      </c>
      <c r="P46" s="538">
        <f t="shared" si="49"/>
        <v>77238</v>
      </c>
      <c r="Q46" s="470">
        <f t="shared" si="44"/>
        <v>308952</v>
      </c>
      <c r="R46" s="549">
        <f>P46</f>
        <v>77238</v>
      </c>
      <c r="S46" s="538">
        <f>R46</f>
        <v>77238</v>
      </c>
      <c r="T46" s="538">
        <f t="shared" ref="T46:U46" si="50">R46</f>
        <v>77238</v>
      </c>
      <c r="U46" s="538">
        <f t="shared" si="50"/>
        <v>77238</v>
      </c>
      <c r="V46" s="470">
        <f t="shared" si="43"/>
        <v>308952</v>
      </c>
      <c r="W46" s="473">
        <f t="shared" si="40"/>
        <v>986431.15384615387</v>
      </c>
      <c r="X46" s="469"/>
      <c r="Y46" s="530"/>
      <c r="AB46" s="530"/>
      <c r="AC46" s="530"/>
      <c r="AD46" s="530"/>
      <c r="AE46" s="530"/>
      <c r="AF46" s="530"/>
      <c r="AG46" s="530"/>
      <c r="AH46" s="530"/>
    </row>
    <row r="47" spans="2:44" s="534" customFormat="1" ht="17.100000000000001" hidden="1" customHeight="1" outlineLevel="1" x14ac:dyDescent="0.25">
      <c r="B47" s="547" t="s">
        <v>323</v>
      </c>
      <c r="C47" s="475" t="s">
        <v>242</v>
      </c>
      <c r="E47" s="489"/>
      <c r="F47" s="483"/>
      <c r="G47" s="663">
        <f t="shared" ref="G47" si="51">SUM(E47:F47)</f>
        <v>0</v>
      </c>
      <c r="H47" s="483"/>
      <c r="I47" s="483"/>
      <c r="J47" s="483"/>
      <c r="K47" s="483">
        <v>375000</v>
      </c>
      <c r="L47" s="663">
        <f t="shared" ref="L47" si="52">SUM(H47:K47)</f>
        <v>375000</v>
      </c>
      <c r="M47" s="483">
        <f>J47</f>
        <v>0</v>
      </c>
      <c r="N47" s="483">
        <f>M47</f>
        <v>0</v>
      </c>
      <c r="O47" s="483">
        <f>N47</f>
        <v>0</v>
      </c>
      <c r="P47" s="483">
        <f>K47</f>
        <v>375000</v>
      </c>
      <c r="Q47" s="467">
        <f t="shared" ref="Q47" si="53">SUM(M47:P47)</f>
        <v>375000</v>
      </c>
      <c r="R47" s="482">
        <f>M47</f>
        <v>0</v>
      </c>
      <c r="S47" s="483">
        <f>R47</f>
        <v>0</v>
      </c>
      <c r="T47" s="483">
        <f>S47</f>
        <v>0</v>
      </c>
      <c r="U47" s="483">
        <v>750000</v>
      </c>
      <c r="V47" s="467">
        <f t="shared" ref="V47" si="54">SUM(R47:U47)</f>
        <v>750000</v>
      </c>
      <c r="W47" s="468">
        <f t="shared" si="40"/>
        <v>1500000</v>
      </c>
      <c r="X47" s="469"/>
      <c r="Y47" s="512"/>
      <c r="AA47" s="546"/>
    </row>
    <row r="48" spans="2:44" s="534" customFormat="1" ht="17.100000000000001" hidden="1" customHeight="1" outlineLevel="1" x14ac:dyDescent="0.25">
      <c r="B48" s="547" t="s">
        <v>246</v>
      </c>
      <c r="C48" s="475" t="s">
        <v>242</v>
      </c>
      <c r="E48" s="489">
        <f>'13) IT- Security'!$H$41</f>
        <v>43750</v>
      </c>
      <c r="F48" s="483"/>
      <c r="G48" s="663">
        <f t="shared" si="46"/>
        <v>43750</v>
      </c>
      <c r="H48" s="483"/>
      <c r="I48" s="483"/>
      <c r="J48" s="483"/>
      <c r="K48" s="483"/>
      <c r="L48" s="663">
        <f t="shared" si="47"/>
        <v>0</v>
      </c>
      <c r="M48" s="483">
        <f>J48</f>
        <v>0</v>
      </c>
      <c r="N48" s="483">
        <f>M48</f>
        <v>0</v>
      </c>
      <c r="O48" s="483">
        <f>N48</f>
        <v>0</v>
      </c>
      <c r="P48" s="483">
        <f t="shared" ref="P48:P50" si="55">M48</f>
        <v>0</v>
      </c>
      <c r="Q48" s="467">
        <f t="shared" si="44"/>
        <v>0</v>
      </c>
      <c r="R48" s="482">
        <f>M48</f>
        <v>0</v>
      </c>
      <c r="S48" s="483">
        <f>R48</f>
        <v>0</v>
      </c>
      <c r="T48" s="483">
        <f>S48</f>
        <v>0</v>
      </c>
      <c r="U48" s="483">
        <f>S48</f>
        <v>0</v>
      </c>
      <c r="V48" s="467">
        <f t="shared" si="43"/>
        <v>0</v>
      </c>
      <c r="W48" s="468">
        <f t="shared" si="40"/>
        <v>43750</v>
      </c>
      <c r="X48" s="469"/>
      <c r="Y48" s="512"/>
      <c r="AA48" s="546"/>
    </row>
    <row r="49" spans="2:41" s="534" customFormat="1" ht="17.100000000000001" hidden="1" customHeight="1" outlineLevel="1" x14ac:dyDescent="0.25">
      <c r="B49" s="547" t="s">
        <v>299</v>
      </c>
      <c r="C49" s="475" t="s">
        <v>91</v>
      </c>
      <c r="E49" s="489"/>
      <c r="F49" s="483">
        <f>'11) IT-Infrastructure'!$I$41-F50</f>
        <v>90000</v>
      </c>
      <c r="G49" s="663">
        <f t="shared" si="46"/>
        <v>90000</v>
      </c>
      <c r="H49" s="483"/>
      <c r="I49" s="483"/>
      <c r="J49" s="483"/>
      <c r="K49" s="483"/>
      <c r="L49" s="663">
        <f t="shared" ref="L49" si="56">SUM(H49:K49)</f>
        <v>0</v>
      </c>
      <c r="M49" s="483">
        <f>J49</f>
        <v>0</v>
      </c>
      <c r="N49" s="483">
        <f>M49</f>
        <v>0</v>
      </c>
      <c r="O49" s="483">
        <f>N49</f>
        <v>0</v>
      </c>
      <c r="P49" s="483">
        <f t="shared" si="55"/>
        <v>0</v>
      </c>
      <c r="Q49" s="467">
        <f t="shared" ref="Q49" si="57">SUM(M49:P49)</f>
        <v>0</v>
      </c>
      <c r="R49" s="482">
        <f>M49</f>
        <v>0</v>
      </c>
      <c r="S49" s="483">
        <f>R49</f>
        <v>0</v>
      </c>
      <c r="T49" s="483">
        <f>S49</f>
        <v>0</v>
      </c>
      <c r="U49" s="483">
        <f>S49</f>
        <v>0</v>
      </c>
      <c r="V49" s="467">
        <f t="shared" ref="V49" si="58">SUM(R49:U49)</f>
        <v>0</v>
      </c>
      <c r="W49" s="468">
        <f t="shared" si="40"/>
        <v>90000</v>
      </c>
      <c r="X49" s="469"/>
      <c r="Y49" s="512"/>
      <c r="AA49" s="546"/>
    </row>
    <row r="50" spans="2:41" s="534" customFormat="1" ht="17.100000000000001" hidden="1" customHeight="1" outlineLevel="1" x14ac:dyDescent="0.25">
      <c r="B50" s="547" t="s">
        <v>300</v>
      </c>
      <c r="C50" s="475" t="s">
        <v>91</v>
      </c>
      <c r="E50" s="624"/>
      <c r="F50" s="471">
        <f>'11) IT-Infrastructure'!$I$31+'11) IT-Infrastructure'!I34</f>
        <v>20000</v>
      </c>
      <c r="G50" s="664">
        <f t="shared" si="46"/>
        <v>20000</v>
      </c>
      <c r="H50" s="479">
        <f>'11) IT-Infrastructure'!$I$31+'11) IT-Infrastructure'!K34</f>
        <v>10000</v>
      </c>
      <c r="I50" s="479">
        <f>'11) IT-Infrastructure'!$I$31+'11) IT-Infrastructure'!L34</f>
        <v>10000</v>
      </c>
      <c r="J50" s="479">
        <f>'11) IT-Infrastructure'!$I$31+'11) IT-Infrastructure'!M34</f>
        <v>20000</v>
      </c>
      <c r="K50" s="471">
        <f>'11) IT-Infrastructure'!$I$31+'11) IT-Infrastructure'!N34</f>
        <v>10000</v>
      </c>
      <c r="L50" s="664">
        <f t="shared" si="47"/>
        <v>50000</v>
      </c>
      <c r="M50" s="538">
        <f>K50</f>
        <v>10000</v>
      </c>
      <c r="N50" s="538">
        <f>M50</f>
        <v>10000</v>
      </c>
      <c r="O50" s="538">
        <f>N50</f>
        <v>10000</v>
      </c>
      <c r="P50" s="538">
        <f t="shared" si="55"/>
        <v>10000</v>
      </c>
      <c r="Q50" s="470">
        <f t="shared" si="44"/>
        <v>40000</v>
      </c>
      <c r="R50" s="549">
        <f>M50</f>
        <v>10000</v>
      </c>
      <c r="S50" s="538">
        <f>R50</f>
        <v>10000</v>
      </c>
      <c r="T50" s="538">
        <f>S50</f>
        <v>10000</v>
      </c>
      <c r="U50" s="538">
        <f>S50</f>
        <v>10000</v>
      </c>
      <c r="V50" s="470">
        <f t="shared" si="43"/>
        <v>40000</v>
      </c>
      <c r="W50" s="473">
        <f t="shared" si="40"/>
        <v>150000</v>
      </c>
      <c r="X50" s="469"/>
      <c r="Y50" s="530"/>
    </row>
    <row r="51" spans="2:41" s="534" customFormat="1" ht="17.100000000000001" hidden="1" customHeight="1" outlineLevel="1" x14ac:dyDescent="0.25">
      <c r="B51" s="547" t="s">
        <v>216</v>
      </c>
      <c r="C51" s="475" t="s">
        <v>124</v>
      </c>
      <c r="E51" s="712"/>
      <c r="F51" s="483">
        <f>15000+30000</f>
        <v>45000</v>
      </c>
      <c r="G51" s="663">
        <f t="shared" si="46"/>
        <v>45000</v>
      </c>
      <c r="H51" s="483"/>
      <c r="I51" s="483"/>
      <c r="J51" s="483"/>
      <c r="K51" s="483"/>
      <c r="L51" s="663">
        <f t="shared" si="47"/>
        <v>0</v>
      </c>
      <c r="M51" s="483"/>
      <c r="N51" s="483"/>
      <c r="O51" s="483"/>
      <c r="P51" s="483"/>
      <c r="Q51" s="467">
        <f t="shared" si="44"/>
        <v>0</v>
      </c>
      <c r="R51" s="483"/>
      <c r="S51" s="483"/>
      <c r="T51" s="483"/>
      <c r="U51" s="483"/>
      <c r="V51" s="467">
        <f t="shared" si="43"/>
        <v>0</v>
      </c>
      <c r="W51" s="468">
        <f t="shared" si="40"/>
        <v>45000</v>
      </c>
      <c r="X51" s="469"/>
      <c r="Y51" s="533"/>
    </row>
    <row r="52" spans="2:41" s="534" customFormat="1" ht="17.100000000000001" hidden="1" customHeight="1" outlineLevel="1" x14ac:dyDescent="0.25">
      <c r="B52" s="547" t="s">
        <v>301</v>
      </c>
      <c r="C52" s="475" t="s">
        <v>76</v>
      </c>
      <c r="E52" s="712"/>
      <c r="F52" s="483">
        <v>425000</v>
      </c>
      <c r="G52" s="663">
        <f>SUM(E52:F52)</f>
        <v>425000</v>
      </c>
      <c r="H52" s="483"/>
      <c r="I52" s="483"/>
      <c r="J52" s="483"/>
      <c r="K52" s="483"/>
      <c r="L52" s="663">
        <f t="shared" si="47"/>
        <v>0</v>
      </c>
      <c r="M52" s="483"/>
      <c r="N52" s="483"/>
      <c r="O52" s="483"/>
      <c r="P52" s="483"/>
      <c r="Q52" s="467">
        <f t="shared" si="44"/>
        <v>0</v>
      </c>
      <c r="R52" s="483"/>
      <c r="S52" s="483"/>
      <c r="T52" s="483"/>
      <c r="U52" s="483"/>
      <c r="V52" s="467">
        <f t="shared" si="43"/>
        <v>0</v>
      </c>
      <c r="W52" s="468">
        <f t="shared" si="40"/>
        <v>425000</v>
      </c>
      <c r="X52" s="469"/>
      <c r="Y52" s="530"/>
    </row>
    <row r="53" spans="2:41" s="534" customFormat="1" hidden="1" outlineLevel="1" x14ac:dyDescent="0.25">
      <c r="B53" s="547" t="s">
        <v>303</v>
      </c>
      <c r="C53" s="475" t="s">
        <v>219</v>
      </c>
      <c r="E53" s="711"/>
      <c r="F53" s="471">
        <f>'2) SW Eng'!$I$41</f>
        <v>25564.375</v>
      </c>
      <c r="G53" s="666">
        <f t="shared" ref="G53:G55" si="59">SUM(E53:F53)</f>
        <v>25564.375</v>
      </c>
      <c r="H53" s="471">
        <f>'2) SW Eng'!J41</f>
        <v>19164.375</v>
      </c>
      <c r="I53" s="474">
        <f>'2) SW Eng'!K41</f>
        <v>19164.375</v>
      </c>
      <c r="J53" s="474">
        <f>'2) SW Eng'!L41</f>
        <v>19414.375</v>
      </c>
      <c r="K53" s="474">
        <f>'2) SW Eng'!M41</f>
        <v>6914.375</v>
      </c>
      <c r="L53" s="666">
        <f>SUM(H53:K53)</f>
        <v>64657.5</v>
      </c>
      <c r="M53" s="471">
        <f>'2) SW Eng'!N41</f>
        <v>3500</v>
      </c>
      <c r="N53" s="474">
        <f>'2) SW Eng'!O41</f>
        <v>3500</v>
      </c>
      <c r="O53" s="474">
        <f>'2) SW Eng'!P41</f>
        <v>3500</v>
      </c>
      <c r="P53" s="474">
        <f>'2) SW Eng'!Q41</f>
        <v>3500</v>
      </c>
      <c r="Q53" s="480">
        <f>SUM(M53:P53)</f>
        <v>14000</v>
      </c>
      <c r="R53" s="471">
        <f>'2) SW Eng'!P41</f>
        <v>3500</v>
      </c>
      <c r="S53" s="471">
        <f>'2) SW Eng'!Q41</f>
        <v>3500</v>
      </c>
      <c r="T53" s="471">
        <f>'2) SW Eng'!R41</f>
        <v>3500</v>
      </c>
      <c r="U53" s="471">
        <f>'2) SW Eng'!S41</f>
        <v>3500</v>
      </c>
      <c r="V53" s="480">
        <f>SUM(R53:U53)</f>
        <v>14000</v>
      </c>
      <c r="W53" s="481">
        <f t="shared" si="40"/>
        <v>118221.875</v>
      </c>
      <c r="X53" s="469"/>
      <c r="Y53" s="530"/>
    </row>
    <row r="54" spans="2:41" s="534" customFormat="1" hidden="1" outlineLevel="1" x14ac:dyDescent="0.25">
      <c r="B54" s="547" t="s">
        <v>106</v>
      </c>
      <c r="C54" s="475" t="s">
        <v>107</v>
      </c>
      <c r="E54" s="624">
        <f>'14) Operations'!$H$41</f>
        <v>0</v>
      </c>
      <c r="F54" s="471">
        <f>E54</f>
        <v>0</v>
      </c>
      <c r="G54" s="666">
        <f t="shared" si="59"/>
        <v>0</v>
      </c>
      <c r="H54" s="471">
        <f>E54</f>
        <v>0</v>
      </c>
      <c r="I54" s="471">
        <f>H54</f>
        <v>0</v>
      </c>
      <c r="J54" s="471"/>
      <c r="K54" s="471"/>
      <c r="L54" s="666">
        <f>SUM(H54:K54)</f>
        <v>0</v>
      </c>
      <c r="M54" s="471"/>
      <c r="N54" s="471"/>
      <c r="O54" s="471"/>
      <c r="P54" s="471"/>
      <c r="Q54" s="480">
        <f>SUM(M54:P54)</f>
        <v>0</v>
      </c>
      <c r="R54" s="471"/>
      <c r="S54" s="471"/>
      <c r="T54" s="471"/>
      <c r="U54" s="471"/>
      <c r="V54" s="480">
        <f>SUM(R54:U54)</f>
        <v>0</v>
      </c>
      <c r="W54" s="481">
        <f t="shared" si="40"/>
        <v>0</v>
      </c>
      <c r="X54" s="469"/>
      <c r="Y54" s="530"/>
    </row>
    <row r="55" spans="2:41" s="534" customFormat="1" hidden="1" outlineLevel="1" x14ac:dyDescent="0.25">
      <c r="B55" s="547" t="s">
        <v>305</v>
      </c>
      <c r="C55" s="475" t="s">
        <v>221</v>
      </c>
      <c r="E55" s="710"/>
      <c r="F55" s="475"/>
      <c r="G55" s="664">
        <f t="shared" si="59"/>
        <v>0</v>
      </c>
      <c r="H55" s="471"/>
      <c r="I55" s="475">
        <v>12000</v>
      </c>
      <c r="J55" s="475"/>
      <c r="K55" s="475"/>
      <c r="L55" s="664">
        <f>SUM(H55:K55)</f>
        <v>12000</v>
      </c>
      <c r="M55" s="538"/>
      <c r="N55" s="538">
        <f>I55</f>
        <v>12000</v>
      </c>
      <c r="O55" s="538"/>
      <c r="P55" s="538"/>
      <c r="Q55" s="470">
        <f>SUM(M55:P55)</f>
        <v>12000</v>
      </c>
      <c r="R55" s="549"/>
      <c r="S55" s="538">
        <f>I55</f>
        <v>12000</v>
      </c>
      <c r="T55" s="538"/>
      <c r="U55" s="538"/>
      <c r="V55" s="470">
        <f>SUM(R55:U55)</f>
        <v>12000</v>
      </c>
      <c r="W55" s="473">
        <f t="shared" si="40"/>
        <v>36000</v>
      </c>
      <c r="X55" s="469"/>
      <c r="Y55" s="530"/>
    </row>
    <row r="56" spans="2:41" s="534" customFormat="1" hidden="1" outlineLevel="1" x14ac:dyDescent="0.25">
      <c r="B56" s="547" t="s">
        <v>267</v>
      </c>
      <c r="C56" s="475" t="s">
        <v>75</v>
      </c>
      <c r="E56" s="710"/>
      <c r="F56" s="475">
        <f>7500000*50%*0.2%</f>
        <v>7500</v>
      </c>
      <c r="G56" s="664">
        <f t="shared" ref="G56" si="60">SUM(E56:F56)</f>
        <v>7500</v>
      </c>
      <c r="H56" s="471"/>
      <c r="I56" s="475"/>
      <c r="J56" s="475"/>
      <c r="K56" s="475"/>
      <c r="L56" s="664">
        <f>SUM(H56:K56)</f>
        <v>0</v>
      </c>
      <c r="M56" s="471"/>
      <c r="N56" s="471">
        <f>I56</f>
        <v>0</v>
      </c>
      <c r="O56" s="471"/>
      <c r="P56" s="471"/>
      <c r="Q56" s="470">
        <f>SUM(M56:P56)</f>
        <v>0</v>
      </c>
      <c r="R56" s="474"/>
      <c r="S56" s="471">
        <f>I56</f>
        <v>0</v>
      </c>
      <c r="T56" s="471"/>
      <c r="U56" s="471"/>
      <c r="V56" s="470">
        <f>SUM(R56:U56)</f>
        <v>0</v>
      </c>
      <c r="W56" s="473">
        <f t="shared" si="40"/>
        <v>7500</v>
      </c>
      <c r="X56" s="469"/>
      <c r="Y56" s="550"/>
      <c r="Z56" s="550"/>
      <c r="AA56" s="550"/>
      <c r="AB56" s="550"/>
      <c r="AC56" s="550"/>
      <c r="AD56" s="550"/>
      <c r="AE56" s="550"/>
      <c r="AF56" s="550"/>
      <c r="AG56" s="550"/>
      <c r="AH56" s="550"/>
      <c r="AI56" s="550"/>
      <c r="AJ56" s="550"/>
      <c r="AK56" s="550"/>
      <c r="AL56" s="550"/>
      <c r="AM56" s="550"/>
      <c r="AN56" s="550"/>
      <c r="AO56" s="550"/>
    </row>
    <row r="57" spans="2:41" s="534" customFormat="1" hidden="1" outlineLevel="1" x14ac:dyDescent="0.25">
      <c r="B57" s="547" t="s">
        <v>222</v>
      </c>
      <c r="C57" s="475"/>
      <c r="E57" s="710"/>
      <c r="F57" s="475">
        <v>25000</v>
      </c>
      <c r="G57" s="664">
        <f>SUM(E57:F57)</f>
        <v>25000</v>
      </c>
      <c r="H57" s="471">
        <f>F57</f>
        <v>25000</v>
      </c>
      <c r="I57" s="475">
        <f>G57</f>
        <v>25000</v>
      </c>
      <c r="J57" s="475">
        <f t="shared" ref="J57:K57" si="61">H57</f>
        <v>25000</v>
      </c>
      <c r="K57" s="475">
        <f t="shared" si="61"/>
        <v>25000</v>
      </c>
      <c r="L57" s="664">
        <f t="shared" si="47"/>
        <v>100000</v>
      </c>
      <c r="M57" s="471">
        <f>H57</f>
        <v>25000</v>
      </c>
      <c r="N57" s="475">
        <f>I57</f>
        <v>25000</v>
      </c>
      <c r="O57" s="475">
        <f>J57</f>
        <v>25000</v>
      </c>
      <c r="P57" s="475">
        <f>K57</f>
        <v>25000</v>
      </c>
      <c r="Q57" s="470">
        <f t="shared" si="44"/>
        <v>100000</v>
      </c>
      <c r="R57" s="471">
        <f>M57</f>
        <v>25000</v>
      </c>
      <c r="S57" s="475">
        <f t="shared" ref="S57:U57" si="62">N57</f>
        <v>25000</v>
      </c>
      <c r="T57" s="475">
        <f t="shared" si="62"/>
        <v>25000</v>
      </c>
      <c r="U57" s="475">
        <f t="shared" si="62"/>
        <v>25000</v>
      </c>
      <c r="V57" s="470">
        <f t="shared" si="43"/>
        <v>100000</v>
      </c>
      <c r="W57" s="473">
        <f t="shared" si="40"/>
        <v>325000</v>
      </c>
      <c r="X57" s="469"/>
      <c r="Y57" s="530"/>
    </row>
    <row r="58" spans="2:41" s="544" customFormat="1" hidden="1" outlineLevel="1" x14ac:dyDescent="0.25">
      <c r="B58" s="754" t="s">
        <v>224</v>
      </c>
      <c r="C58" s="551"/>
      <c r="E58" s="713"/>
      <c r="F58" s="552">
        <f>F43+F45+SUM(F46:F57)</f>
        <v>990202.43475650228</v>
      </c>
      <c r="G58" s="668">
        <f t="shared" ref="G58:V58" si="63">G43+G45+SUM(G46:G57)</f>
        <v>1033952.4347565023</v>
      </c>
      <c r="H58" s="553">
        <f t="shared" si="63"/>
        <v>478883.51167957927</v>
      </c>
      <c r="I58" s="552">
        <f t="shared" si="63"/>
        <v>490883.51167957927</v>
      </c>
      <c r="J58" s="552">
        <f t="shared" si="63"/>
        <v>470827.43475650233</v>
      </c>
      <c r="K58" s="552">
        <f t="shared" si="63"/>
        <v>823327.43475650228</v>
      </c>
      <c r="L58" s="668">
        <f t="shared" si="63"/>
        <v>2263921.4428721634</v>
      </c>
      <c r="M58" s="553">
        <f t="shared" si="63"/>
        <v>459434.36274432752</v>
      </c>
      <c r="N58" s="552">
        <f t="shared" si="63"/>
        <v>457267.64607766084</v>
      </c>
      <c r="O58" s="552">
        <f t="shared" si="63"/>
        <v>445267.64607766084</v>
      </c>
      <c r="P58" s="552">
        <f t="shared" si="63"/>
        <v>820267.64607766084</v>
      </c>
      <c r="Q58" s="554">
        <f t="shared" si="63"/>
        <v>2182236.8009773102</v>
      </c>
      <c r="R58" s="553">
        <f t="shared" si="63"/>
        <v>460515.0038398772</v>
      </c>
      <c r="S58" s="552">
        <f t="shared" si="63"/>
        <v>472514.94633987721</v>
      </c>
      <c r="T58" s="552">
        <f t="shared" si="63"/>
        <v>460514.94633987721</v>
      </c>
      <c r="U58" s="552">
        <f t="shared" si="63"/>
        <v>1203431.6130065438</v>
      </c>
      <c r="V58" s="554">
        <f t="shared" si="63"/>
        <v>2596976.0095261754</v>
      </c>
      <c r="W58" s="555">
        <f t="shared" si="40"/>
        <v>8077086.688132151</v>
      </c>
      <c r="X58" s="553"/>
      <c r="Y58" s="556"/>
    </row>
    <row r="59" spans="2:41" s="525" customFormat="1" hidden="1" outlineLevel="1" collapsed="1" x14ac:dyDescent="0.25">
      <c r="B59" s="755" t="s">
        <v>247</v>
      </c>
      <c r="C59" s="557"/>
      <c r="D59" s="557"/>
      <c r="E59" s="714">
        <f>E36+E38+E40+E41+E42+E45+E46+E50+E51+E55+E53+E52+E57+E49+E54+E48+E30+E31+E47</f>
        <v>43750</v>
      </c>
      <c r="F59" s="558">
        <f>F36+F38+F40+F41+F42+F45+F46+F50+F51+F55+F53+F52+F57+F49+F54+F48+F30+F31+F47</f>
        <v>1246705.6847565025</v>
      </c>
      <c r="G59" s="669">
        <f t="shared" ref="G59:W59" si="64">G36+G38+G40+G41+G42+G45+G46+G50+G51+G55+G53+G52+G57+G49+G54+G48+G30+G31</f>
        <v>1290455.6847565025</v>
      </c>
      <c r="H59" s="558">
        <f>H36+H38+H40+H41+H42+H45+H46+H50+H51+H55+H53+H52+H57+H49+H54+H48+H30+H31+H47</f>
        <v>478883.36167957931</v>
      </c>
      <c r="I59" s="558">
        <f>I36+I38+I40+I41+I42+I45+I46+I50+I51+I55+I53+I52+I57+I49+I54+I48+I30+I31+I47</f>
        <v>490883.36167957931</v>
      </c>
      <c r="J59" s="558">
        <f>J36+J38+J40+J41+J42+J45+J46+J50+J51+J55+J53+J52+J57+J49+J54+J48+J30+J31+J47</f>
        <v>470827.28475650237</v>
      </c>
      <c r="K59" s="558">
        <f>K36+K38+K40+K41+K42+K45+K46+K50+K51+K55+K53+K52+K57+K49+K54+K48+K30+K31+K47</f>
        <v>823327.28475650237</v>
      </c>
      <c r="L59" s="669">
        <f>L36+L38+L40+L41+L42+L45+L46+L50+L51+L55+L53+L52+L57+L49+L54+L48+L30+L31+L47</f>
        <v>2263921.2928721635</v>
      </c>
      <c r="M59" s="558">
        <f t="shared" si="64"/>
        <v>459434.16274432751</v>
      </c>
      <c r="N59" s="558">
        <f t="shared" si="64"/>
        <v>457267.49607766082</v>
      </c>
      <c r="O59" s="558">
        <f t="shared" si="64"/>
        <v>445267.49607766082</v>
      </c>
      <c r="P59" s="558">
        <f t="shared" si="64"/>
        <v>445267.49607766082</v>
      </c>
      <c r="Q59" s="558">
        <f t="shared" si="64"/>
        <v>1807236.65097731</v>
      </c>
      <c r="R59" s="558">
        <f t="shared" si="64"/>
        <v>460514.80383987719</v>
      </c>
      <c r="S59" s="558">
        <f t="shared" si="64"/>
        <v>472514.79633987718</v>
      </c>
      <c r="T59" s="558">
        <f t="shared" si="64"/>
        <v>460514.79633987718</v>
      </c>
      <c r="U59" s="558">
        <f t="shared" si="64"/>
        <v>453431.46300654387</v>
      </c>
      <c r="V59" s="558">
        <f t="shared" si="64"/>
        <v>1846975.8595261755</v>
      </c>
      <c r="W59" s="558">
        <f t="shared" si="64"/>
        <v>6833589.4881321518</v>
      </c>
      <c r="X59" s="553"/>
      <c r="Y59" s="512"/>
    </row>
    <row r="60" spans="2:41" s="525" customFormat="1" hidden="1" outlineLevel="2" x14ac:dyDescent="0.25">
      <c r="B60" s="756" t="s">
        <v>225</v>
      </c>
      <c r="C60" s="528"/>
      <c r="D60" s="528"/>
      <c r="E60" s="711"/>
      <c r="F60" s="469"/>
      <c r="G60" s="670">
        <f>G59</f>
        <v>1290455.6847565025</v>
      </c>
      <c r="H60" s="469"/>
      <c r="I60" s="469"/>
      <c r="J60" s="469"/>
      <c r="K60" s="469"/>
      <c r="L60" s="670">
        <f>L59</f>
        <v>2263921.2928721635</v>
      </c>
      <c r="M60" s="469"/>
      <c r="N60" s="469"/>
      <c r="O60" s="469"/>
      <c r="P60" s="469"/>
      <c r="Q60" s="559">
        <f>Q59</f>
        <v>1807236.65097731</v>
      </c>
      <c r="R60" s="469"/>
      <c r="S60" s="469"/>
      <c r="T60" s="469"/>
      <c r="U60" s="469"/>
      <c r="V60" s="559">
        <f>V59</f>
        <v>1846975.8595261755</v>
      </c>
      <c r="W60" s="560">
        <f>(G60+L60+Q60+V60)-W59</f>
        <v>374999.99999999907</v>
      </c>
      <c r="X60" s="484"/>
      <c r="Y60" s="512"/>
    </row>
    <row r="61" spans="2:41" s="525" customFormat="1" hidden="1" outlineLevel="1" x14ac:dyDescent="0.25">
      <c r="B61" s="756"/>
      <c r="C61" s="528"/>
      <c r="D61" s="528"/>
      <c r="E61" s="711"/>
      <c r="F61" s="469"/>
      <c r="G61" s="670"/>
      <c r="H61" s="469"/>
      <c r="I61" s="469"/>
      <c r="J61" s="469"/>
      <c r="K61" s="469"/>
      <c r="L61" s="670"/>
      <c r="M61" s="469"/>
      <c r="N61" s="469"/>
      <c r="O61" s="469"/>
      <c r="P61" s="469"/>
      <c r="Q61" s="559"/>
      <c r="R61" s="469"/>
      <c r="S61" s="469"/>
      <c r="T61" s="469"/>
      <c r="U61" s="469"/>
      <c r="V61" s="559"/>
      <c r="W61" s="560"/>
      <c r="X61" s="484"/>
      <c r="Y61" s="512"/>
    </row>
    <row r="62" spans="2:41" s="525" customFormat="1" hidden="1" outlineLevel="1" x14ac:dyDescent="0.25">
      <c r="B62" s="756"/>
      <c r="C62" s="528"/>
      <c r="D62" s="528"/>
      <c r="E62" s="711"/>
      <c r="F62" s="486"/>
      <c r="G62" s="670"/>
      <c r="H62" s="486"/>
      <c r="I62" s="486"/>
      <c r="J62" s="486"/>
      <c r="K62" s="486"/>
      <c r="L62" s="670"/>
      <c r="M62" s="486">
        <v>0.05</v>
      </c>
      <c r="N62" s="486"/>
      <c r="O62" s="486"/>
      <c r="P62" s="486"/>
      <c r="Q62" s="559"/>
      <c r="R62" s="486">
        <v>0.05</v>
      </c>
      <c r="S62" s="486"/>
      <c r="T62" s="486"/>
      <c r="U62" s="486"/>
      <c r="V62" s="559"/>
      <c r="W62" s="560"/>
      <c r="X62" s="484"/>
      <c r="Y62" s="512"/>
    </row>
    <row r="63" spans="2:41" s="533" customFormat="1" hidden="1" outlineLevel="3" collapsed="1" x14ac:dyDescent="0.25">
      <c r="B63" s="703" t="s">
        <v>226</v>
      </c>
      <c r="C63" s="537"/>
      <c r="D63" s="537"/>
      <c r="E63" s="715"/>
      <c r="F63" s="485">
        <f>((650000*0.12755)*F13)/4</f>
        <v>124361.25</v>
      </c>
      <c r="G63" s="664">
        <f t="shared" ref="G63:G71" si="65">SUM(E63:F63)</f>
        <v>124361.25</v>
      </c>
      <c r="H63" s="485">
        <f>((650000*0.12755)*H13)/4</f>
        <v>248722.5</v>
      </c>
      <c r="I63" s="485">
        <f>((650000*0.12755)*I13)/4</f>
        <v>248722.5</v>
      </c>
      <c r="J63" s="485">
        <f>((650000*0.12755)*J13)/4</f>
        <v>290176.25</v>
      </c>
      <c r="K63" s="485">
        <f>((650000*0.12755)*K13)/4</f>
        <v>290176.25</v>
      </c>
      <c r="L63" s="664">
        <f>SUM(H63:K63)</f>
        <v>1077797.5</v>
      </c>
      <c r="M63" s="485">
        <f>K63*(1+M62)</f>
        <v>304685.0625</v>
      </c>
      <c r="N63" s="485">
        <f t="shared" ref="N63:P64" si="66">M63</f>
        <v>304685.0625</v>
      </c>
      <c r="O63" s="485">
        <f t="shared" si="66"/>
        <v>304685.0625</v>
      </c>
      <c r="P63" s="485">
        <f t="shared" si="66"/>
        <v>304685.0625</v>
      </c>
      <c r="Q63" s="470">
        <f>SUM(M63:P63)</f>
        <v>1218740.25</v>
      </c>
      <c r="R63" s="485">
        <f>P63*(1+R62)</f>
        <v>319919.31562499999</v>
      </c>
      <c r="S63" s="485">
        <f t="shared" ref="S63:U64" si="67">R63</f>
        <v>319919.31562499999</v>
      </c>
      <c r="T63" s="485">
        <f t="shared" si="67"/>
        <v>319919.31562499999</v>
      </c>
      <c r="U63" s="485">
        <f t="shared" si="67"/>
        <v>319919.31562499999</v>
      </c>
      <c r="V63" s="470">
        <f>SUM(R63:U63)</f>
        <v>1279677.2625</v>
      </c>
      <c r="W63" s="560">
        <f>G63+L63+Q63+V63</f>
        <v>3700576.2625000002</v>
      </c>
      <c r="X63" s="484"/>
      <c r="Y63" s="561"/>
      <c r="Z63" s="562">
        <f>(L63-L36)/L36</f>
        <v>0.19974792279568226</v>
      </c>
      <c r="AA63" s="546"/>
      <c r="AB63" s="546"/>
      <c r="AC63" s="546"/>
      <c r="AD63" s="546"/>
      <c r="AE63" s="546"/>
      <c r="AF63" s="546"/>
      <c r="AG63" s="546"/>
      <c r="AH63" s="546"/>
    </row>
    <row r="64" spans="2:41" s="533" customFormat="1" hidden="1" outlineLevel="4" x14ac:dyDescent="0.25">
      <c r="B64" s="752" t="s">
        <v>269</v>
      </c>
      <c r="C64" s="537"/>
      <c r="D64" s="537"/>
      <c r="E64" s="715"/>
      <c r="F64" s="486">
        <v>0.1</v>
      </c>
      <c r="G64" s="664"/>
      <c r="H64" s="486">
        <f>F64</f>
        <v>0.1</v>
      </c>
      <c r="I64" s="486">
        <f>H64</f>
        <v>0.1</v>
      </c>
      <c r="J64" s="486">
        <f t="shared" ref="J64:K64" si="68">I64</f>
        <v>0.1</v>
      </c>
      <c r="K64" s="486">
        <f t="shared" si="68"/>
        <v>0.1</v>
      </c>
      <c r="L64" s="664"/>
      <c r="M64" s="486">
        <f>K64</f>
        <v>0.1</v>
      </c>
      <c r="N64" s="486">
        <f t="shared" si="66"/>
        <v>0.1</v>
      </c>
      <c r="O64" s="486">
        <f t="shared" si="66"/>
        <v>0.1</v>
      </c>
      <c r="P64" s="486">
        <f t="shared" si="66"/>
        <v>0.1</v>
      </c>
      <c r="Q64" s="470"/>
      <c r="R64" s="486">
        <f>M64</f>
        <v>0.1</v>
      </c>
      <c r="S64" s="486">
        <f t="shared" si="67"/>
        <v>0.1</v>
      </c>
      <c r="T64" s="486">
        <f t="shared" si="67"/>
        <v>0.1</v>
      </c>
      <c r="U64" s="486">
        <f t="shared" si="67"/>
        <v>0.1</v>
      </c>
      <c r="V64" s="470"/>
      <c r="W64" s="560"/>
      <c r="X64" s="484"/>
      <c r="Y64" s="546"/>
      <c r="Z64" s="546"/>
      <c r="AA64" s="546"/>
      <c r="AB64" s="546"/>
      <c r="AC64" s="546"/>
      <c r="AD64" s="546"/>
      <c r="AE64" s="546"/>
      <c r="AF64" s="546"/>
      <c r="AG64" s="546"/>
      <c r="AH64" s="546"/>
      <c r="AI64" s="525"/>
    </row>
    <row r="65" spans="2:34" s="533" customFormat="1" hidden="1" outlineLevel="3" x14ac:dyDescent="0.25">
      <c r="B65" s="703" t="s">
        <v>202</v>
      </c>
      <c r="C65" s="537"/>
      <c r="D65" s="537"/>
      <c r="E65" s="716"/>
      <c r="F65" s="487">
        <f>F63*F64</f>
        <v>12436.125</v>
      </c>
      <c r="G65" s="664">
        <f t="shared" si="65"/>
        <v>12436.125</v>
      </c>
      <c r="H65" s="485">
        <f>H63*H64</f>
        <v>24872.25</v>
      </c>
      <c r="I65" s="485">
        <f>I63*I64</f>
        <v>24872.25</v>
      </c>
      <c r="J65" s="485">
        <f>J63*J64</f>
        <v>29017.625</v>
      </c>
      <c r="K65" s="485">
        <f>K63*K64</f>
        <v>29017.625</v>
      </c>
      <c r="L65" s="664">
        <f t="shared" ref="L65:L67" si="69">SUM(H65:K65)</f>
        <v>107779.75</v>
      </c>
      <c r="M65" s="485">
        <f>M63*M64</f>
        <v>30468.506250000002</v>
      </c>
      <c r="N65" s="485">
        <f>N63*N64</f>
        <v>30468.506250000002</v>
      </c>
      <c r="O65" s="485">
        <f>O63*O64</f>
        <v>30468.506250000002</v>
      </c>
      <c r="P65" s="485">
        <f>P63*P64</f>
        <v>30468.506250000002</v>
      </c>
      <c r="Q65" s="470">
        <f t="shared" ref="Q65:Q67" si="70">SUM(M65:P65)</f>
        <v>121874.02500000001</v>
      </c>
      <c r="R65" s="485">
        <f>R63*R64</f>
        <v>31991.931562500002</v>
      </c>
      <c r="S65" s="485">
        <f>S63*S64</f>
        <v>31991.931562500002</v>
      </c>
      <c r="T65" s="485">
        <f>T63*T64</f>
        <v>31991.931562500002</v>
      </c>
      <c r="U65" s="485">
        <f>U63*U64</f>
        <v>31991.931562500002</v>
      </c>
      <c r="V65" s="470">
        <f t="shared" ref="V65:V67" si="71">SUM(R65:U65)</f>
        <v>127967.72625000001</v>
      </c>
      <c r="W65" s="560">
        <f>G65+L65+Q65+V65</f>
        <v>370057.62625000003</v>
      </c>
      <c r="X65" s="484"/>
      <c r="Y65" s="770"/>
      <c r="Z65" s="770"/>
      <c r="AA65" s="770"/>
      <c r="AB65" s="770"/>
      <c r="AC65" s="770"/>
      <c r="AD65" s="770"/>
      <c r="AE65" s="770"/>
      <c r="AF65" s="770"/>
      <c r="AG65" s="770"/>
      <c r="AH65" s="770"/>
    </row>
    <row r="66" spans="2:34" s="534" customFormat="1" hidden="1" outlineLevel="4" x14ac:dyDescent="0.25">
      <c r="B66" s="752" t="s">
        <v>203</v>
      </c>
      <c r="C66" s="475"/>
      <c r="D66" s="513"/>
      <c r="E66" s="710"/>
      <c r="F66" s="472">
        <v>0.15</v>
      </c>
      <c r="G66" s="665">
        <f>F66</f>
        <v>0.15</v>
      </c>
      <c r="H66" s="472">
        <f>G66</f>
        <v>0.15</v>
      </c>
      <c r="I66" s="472">
        <f t="shared" ref="I66:V66" si="72">H66</f>
        <v>0.15</v>
      </c>
      <c r="J66" s="472">
        <f t="shared" si="72"/>
        <v>0.15</v>
      </c>
      <c r="K66" s="472">
        <f t="shared" si="72"/>
        <v>0.15</v>
      </c>
      <c r="L66" s="665">
        <f t="shared" si="72"/>
        <v>0.15</v>
      </c>
      <c r="M66" s="472">
        <f>L66</f>
        <v>0.15</v>
      </c>
      <c r="N66" s="472">
        <f t="shared" si="72"/>
        <v>0.15</v>
      </c>
      <c r="O66" s="472">
        <f t="shared" si="72"/>
        <v>0.15</v>
      </c>
      <c r="P66" s="472">
        <f t="shared" si="72"/>
        <v>0.15</v>
      </c>
      <c r="Q66" s="477">
        <f t="shared" si="72"/>
        <v>0.15</v>
      </c>
      <c r="R66" s="472">
        <f t="shared" si="72"/>
        <v>0.15</v>
      </c>
      <c r="S66" s="472">
        <f t="shared" si="72"/>
        <v>0.15</v>
      </c>
      <c r="T66" s="472">
        <f t="shared" si="72"/>
        <v>0.15</v>
      </c>
      <c r="U66" s="472">
        <f t="shared" si="72"/>
        <v>0.15</v>
      </c>
      <c r="V66" s="477">
        <f t="shared" si="72"/>
        <v>0.15</v>
      </c>
      <c r="W66" s="478">
        <f>G66+L66+Q66+V66</f>
        <v>0.6</v>
      </c>
      <c r="X66" s="472"/>
      <c r="Y66" s="546"/>
      <c r="Z66" s="546"/>
      <c r="AA66" s="546"/>
      <c r="AB66" s="546"/>
      <c r="AC66" s="546"/>
      <c r="AD66" s="546"/>
      <c r="AE66" s="546"/>
      <c r="AF66" s="546"/>
      <c r="AG66" s="546"/>
      <c r="AH66" s="546"/>
    </row>
    <row r="67" spans="2:34" s="533" customFormat="1" hidden="1" outlineLevel="3" x14ac:dyDescent="0.25">
      <c r="B67" s="703" t="s">
        <v>204</v>
      </c>
      <c r="C67" s="537"/>
      <c r="D67" s="537"/>
      <c r="E67" s="717"/>
      <c r="F67" s="485">
        <f>SUM(F63:F65)*$F$66</f>
        <v>20519.62125</v>
      </c>
      <c r="G67" s="664">
        <f t="shared" si="65"/>
        <v>20519.62125</v>
      </c>
      <c r="H67" s="485">
        <f>SUM(H63:H65)*$F$66</f>
        <v>41039.227499999994</v>
      </c>
      <c r="I67" s="485">
        <f t="shared" ref="I67:O67" si="73">SUM(I63:I65)*$F$66</f>
        <v>41039.227499999994</v>
      </c>
      <c r="J67" s="485">
        <f t="shared" si="73"/>
        <v>47879.096249999995</v>
      </c>
      <c r="K67" s="485">
        <f t="shared" si="73"/>
        <v>47879.096249999995</v>
      </c>
      <c r="L67" s="664">
        <f t="shared" si="69"/>
        <v>177836.64749999999</v>
      </c>
      <c r="M67" s="485">
        <f t="shared" si="73"/>
        <v>50273.050312499989</v>
      </c>
      <c r="N67" s="485">
        <f t="shared" si="73"/>
        <v>50273.050312499989</v>
      </c>
      <c r="O67" s="485">
        <f t="shared" si="73"/>
        <v>50273.050312499989</v>
      </c>
      <c r="P67" s="485">
        <f>SUM(P63:P65)*$F$66</f>
        <v>50273.050312499989</v>
      </c>
      <c r="Q67" s="470">
        <f t="shared" si="70"/>
        <v>201092.20124999995</v>
      </c>
      <c r="R67" s="485">
        <f>SUM(R63:R65)*$F$66</f>
        <v>52786.702078124996</v>
      </c>
      <c r="S67" s="485">
        <f t="shared" ref="S67:U67" si="74">SUM(S63:S65)*$F$66</f>
        <v>52786.702078124996</v>
      </c>
      <c r="T67" s="485">
        <f t="shared" si="74"/>
        <v>52786.702078124996</v>
      </c>
      <c r="U67" s="485">
        <f t="shared" si="74"/>
        <v>52786.702078124996</v>
      </c>
      <c r="V67" s="470">
        <f t="shared" si="71"/>
        <v>211146.80831249998</v>
      </c>
      <c r="W67" s="560">
        <f>G67+L67+Q67+V67</f>
        <v>610595.27831249998</v>
      </c>
      <c r="X67" s="484"/>
      <c r="Y67" s="770"/>
      <c r="Z67" s="770"/>
      <c r="AA67" s="770"/>
      <c r="AB67" s="770"/>
      <c r="AC67" s="770"/>
      <c r="AD67" s="770"/>
      <c r="AE67" s="770"/>
      <c r="AF67" s="770"/>
      <c r="AG67" s="770"/>
      <c r="AH67" s="770"/>
    </row>
    <row r="68" spans="2:34" s="533" customFormat="1" hidden="1" outlineLevel="3" x14ac:dyDescent="0.25">
      <c r="B68" s="703" t="s">
        <v>228</v>
      </c>
      <c r="C68" s="537"/>
      <c r="D68" s="537"/>
      <c r="E68" s="717"/>
      <c r="F68" s="485">
        <f>((F63/F13)/3*2)*6</f>
        <v>82907.5</v>
      </c>
      <c r="G68" s="666">
        <f t="shared" si="65"/>
        <v>82907.5</v>
      </c>
      <c r="H68" s="485">
        <f>((H63/12)/3*2)*6</f>
        <v>82907.5</v>
      </c>
      <c r="I68" s="485"/>
      <c r="J68" s="485">
        <f>((J63/14)/3*2)*2</f>
        <v>27635.833333333332</v>
      </c>
      <c r="K68" s="485"/>
      <c r="L68" s="666">
        <f t="shared" ref="L68:L70" si="75">SUM(H68:K68)</f>
        <v>110543.33333333333</v>
      </c>
      <c r="M68" s="485"/>
      <c r="N68" s="485"/>
      <c r="O68" s="485"/>
      <c r="P68" s="485"/>
      <c r="Q68" s="480">
        <f t="shared" ref="Q68:Q71" si="76">SUM(M68:P68)</f>
        <v>0</v>
      </c>
      <c r="R68" s="485"/>
      <c r="S68" s="485"/>
      <c r="T68" s="485"/>
      <c r="U68" s="485"/>
      <c r="V68" s="480">
        <f t="shared" ref="V68:V71" si="77">SUM(R68:U68)</f>
        <v>0</v>
      </c>
      <c r="W68" s="563">
        <f>G68+L68+Q68+V68</f>
        <v>193450.83333333331</v>
      </c>
      <c r="X68" s="484"/>
      <c r="Y68" s="530"/>
      <c r="Z68" s="546"/>
      <c r="AA68" s="564"/>
      <c r="AB68" s="546"/>
      <c r="AC68" s="546"/>
      <c r="AD68" s="546"/>
      <c r="AE68" s="546"/>
      <c r="AF68" s="546"/>
      <c r="AG68" s="546"/>
      <c r="AH68" s="546"/>
    </row>
    <row r="69" spans="2:34" s="533" customFormat="1" ht="14.45" hidden="1" customHeight="1" outlineLevel="1" x14ac:dyDescent="0.25">
      <c r="B69" s="757" t="s">
        <v>207</v>
      </c>
      <c r="C69" s="537"/>
      <c r="D69" s="537"/>
      <c r="E69" s="715">
        <f t="shared" ref="E69:V69" si="78">SUM(E63:E68)</f>
        <v>0</v>
      </c>
      <c r="F69" s="475">
        <f t="shared" si="78"/>
        <v>240224.74625</v>
      </c>
      <c r="G69" s="664">
        <f t="shared" si="78"/>
        <v>240224.64624999999</v>
      </c>
      <c r="H69" s="471">
        <f t="shared" si="78"/>
        <v>397541.72749999998</v>
      </c>
      <c r="I69" s="471">
        <f t="shared" si="78"/>
        <v>314634.22749999998</v>
      </c>
      <c r="J69" s="471">
        <f t="shared" si="78"/>
        <v>394709.05458333332</v>
      </c>
      <c r="K69" s="471">
        <f t="shared" si="78"/>
        <v>367073.22125</v>
      </c>
      <c r="L69" s="664">
        <f t="shared" si="78"/>
        <v>1473957.3808333331</v>
      </c>
      <c r="M69" s="471">
        <f t="shared" si="78"/>
        <v>385426.86906249996</v>
      </c>
      <c r="N69" s="475">
        <f t="shared" si="78"/>
        <v>385426.86906249996</v>
      </c>
      <c r="O69" s="475">
        <f t="shared" si="78"/>
        <v>385426.86906249996</v>
      </c>
      <c r="P69" s="475">
        <f t="shared" si="78"/>
        <v>385426.86906249996</v>
      </c>
      <c r="Q69" s="470">
        <f t="shared" si="78"/>
        <v>1541706.6262499997</v>
      </c>
      <c r="R69" s="471">
        <f t="shared" si="78"/>
        <v>404698.19926562498</v>
      </c>
      <c r="S69" s="475">
        <f t="shared" si="78"/>
        <v>404698.19926562498</v>
      </c>
      <c r="T69" s="475">
        <f t="shared" si="78"/>
        <v>404698.19926562498</v>
      </c>
      <c r="U69" s="475">
        <f t="shared" si="78"/>
        <v>404698.19926562498</v>
      </c>
      <c r="V69" s="470">
        <f t="shared" si="78"/>
        <v>1618791.9470624998</v>
      </c>
      <c r="W69" s="473">
        <f>SUM(W63:W68)</f>
        <v>4874680.6003958331</v>
      </c>
      <c r="X69" s="469"/>
      <c r="Y69" s="530" t="s">
        <v>227</v>
      </c>
      <c r="Z69" s="530"/>
      <c r="AA69" s="530"/>
      <c r="AB69" s="530"/>
      <c r="AC69" s="530"/>
      <c r="AD69" s="530"/>
      <c r="AE69" s="530"/>
      <c r="AF69" s="530"/>
      <c r="AG69" s="530"/>
      <c r="AH69" s="530"/>
    </row>
    <row r="70" spans="2:34" s="533" customFormat="1" hidden="1" outlineLevel="2" x14ac:dyDescent="0.25">
      <c r="B70" s="757" t="s">
        <v>209</v>
      </c>
      <c r="C70" s="536"/>
      <c r="D70" s="537"/>
      <c r="E70" s="717"/>
      <c r="F70" s="485"/>
      <c r="G70" s="664">
        <f t="shared" si="65"/>
        <v>0</v>
      </c>
      <c r="H70" s="485">
        <f>H13*$F$44</f>
        <v>15000</v>
      </c>
      <c r="I70" s="485">
        <f>I13*$F$44</f>
        <v>15000</v>
      </c>
      <c r="J70" s="485">
        <f>J13*$F$44</f>
        <v>17500</v>
      </c>
      <c r="K70" s="485">
        <f>K13*$F$44</f>
        <v>17500</v>
      </c>
      <c r="L70" s="664">
        <f t="shared" si="75"/>
        <v>65000</v>
      </c>
      <c r="M70" s="485">
        <f>M13*$F$44</f>
        <v>17500</v>
      </c>
      <c r="N70" s="485">
        <f>N13*$F$44</f>
        <v>17500</v>
      </c>
      <c r="O70" s="485">
        <f>O13*$F$44</f>
        <v>17500</v>
      </c>
      <c r="P70" s="485">
        <f>P13*$F$44</f>
        <v>17500</v>
      </c>
      <c r="Q70" s="470">
        <f>SUM(M70:P70)</f>
        <v>70000</v>
      </c>
      <c r="R70" s="485">
        <f>R13*$F$44</f>
        <v>17500</v>
      </c>
      <c r="S70" s="485">
        <f>S13*$F$44</f>
        <v>17500</v>
      </c>
      <c r="T70" s="485">
        <f>T13*$F$44</f>
        <v>17500</v>
      </c>
      <c r="U70" s="485">
        <f>U13*$F$44</f>
        <v>17500</v>
      </c>
      <c r="V70" s="470">
        <f t="shared" si="77"/>
        <v>70000</v>
      </c>
      <c r="W70" s="560">
        <f t="shared" ref="W70:W75" si="79">G70+L70+Q70+V70</f>
        <v>205000</v>
      </c>
      <c r="X70" s="484"/>
    </row>
    <row r="71" spans="2:34" s="567" customFormat="1" hidden="1" outlineLevel="2" x14ac:dyDescent="0.25">
      <c r="B71" s="757" t="s">
        <v>229</v>
      </c>
      <c r="C71" s="485"/>
      <c r="D71" s="565"/>
      <c r="E71" s="622"/>
      <c r="F71" s="485"/>
      <c r="G71" s="664">
        <f t="shared" si="65"/>
        <v>0</v>
      </c>
      <c r="H71" s="471">
        <f>'8) Facilities'!J41-H46</f>
        <v>81894.923076923078</v>
      </c>
      <c r="I71" s="471">
        <f>'8) Facilities'!K41-I46</f>
        <v>81894.923076923078</v>
      </c>
      <c r="J71" s="471">
        <f>'8) Facilities'!L41-J46</f>
        <v>77238</v>
      </c>
      <c r="K71" s="471">
        <f>'8) Facilities'!M41-K46</f>
        <v>77238</v>
      </c>
      <c r="L71" s="678">
        <f>SUM(H71:K71)</f>
        <v>318265.84615384613</v>
      </c>
      <c r="M71" s="538">
        <f>K71</f>
        <v>77238</v>
      </c>
      <c r="N71" s="538">
        <f>M71</f>
        <v>77238</v>
      </c>
      <c r="O71" s="538">
        <f t="shared" ref="O71:P71" si="80">M71</f>
        <v>77238</v>
      </c>
      <c r="P71" s="538">
        <f t="shared" si="80"/>
        <v>77238</v>
      </c>
      <c r="Q71" s="566">
        <f t="shared" si="76"/>
        <v>308952</v>
      </c>
      <c r="R71" s="549">
        <f>M71</f>
        <v>77238</v>
      </c>
      <c r="S71" s="538">
        <f t="shared" ref="S71:U71" si="81">N71</f>
        <v>77238</v>
      </c>
      <c r="T71" s="538">
        <f t="shared" si="81"/>
        <v>77238</v>
      </c>
      <c r="U71" s="538">
        <f t="shared" si="81"/>
        <v>77238</v>
      </c>
      <c r="V71" s="566">
        <f t="shared" si="77"/>
        <v>308952</v>
      </c>
      <c r="W71" s="560">
        <f t="shared" si="79"/>
        <v>936169.84615384613</v>
      </c>
      <c r="X71" s="484"/>
    </row>
    <row r="72" spans="2:34" s="525" customFormat="1" hidden="1" outlineLevel="1" x14ac:dyDescent="0.25">
      <c r="B72" s="755" t="s">
        <v>248</v>
      </c>
      <c r="C72" s="557"/>
      <c r="D72" s="557"/>
      <c r="E72" s="714">
        <f>E69+E70+E71</f>
        <v>0</v>
      </c>
      <c r="F72" s="558">
        <f t="shared" ref="F72:V72" si="82">F69+F70+F71</f>
        <v>240224.74625</v>
      </c>
      <c r="G72" s="669">
        <f t="shared" si="82"/>
        <v>240224.64624999999</v>
      </c>
      <c r="H72" s="558">
        <f t="shared" si="82"/>
        <v>494436.65057692304</v>
      </c>
      <c r="I72" s="558">
        <f t="shared" si="82"/>
        <v>411529.15057692304</v>
      </c>
      <c r="J72" s="558">
        <f t="shared" si="82"/>
        <v>489447.05458333332</v>
      </c>
      <c r="K72" s="558">
        <f t="shared" si="82"/>
        <v>461811.22125</v>
      </c>
      <c r="L72" s="669">
        <f t="shared" si="82"/>
        <v>1857223.2269871794</v>
      </c>
      <c r="M72" s="558">
        <f t="shared" si="82"/>
        <v>480164.86906249996</v>
      </c>
      <c r="N72" s="558">
        <f t="shared" si="82"/>
        <v>480164.86906249996</v>
      </c>
      <c r="O72" s="558">
        <f t="shared" si="82"/>
        <v>480164.86906249996</v>
      </c>
      <c r="P72" s="558">
        <f t="shared" si="82"/>
        <v>480164.86906249996</v>
      </c>
      <c r="Q72" s="558">
        <f t="shared" si="82"/>
        <v>1920658.6262499997</v>
      </c>
      <c r="R72" s="558">
        <f t="shared" si="82"/>
        <v>499436.19926562498</v>
      </c>
      <c r="S72" s="558">
        <f t="shared" si="82"/>
        <v>499436.19926562498</v>
      </c>
      <c r="T72" s="558">
        <f t="shared" si="82"/>
        <v>499436.19926562498</v>
      </c>
      <c r="U72" s="558">
        <f t="shared" si="82"/>
        <v>499436.19926562498</v>
      </c>
      <c r="V72" s="558">
        <f t="shared" si="82"/>
        <v>1997743.9470624998</v>
      </c>
      <c r="W72" s="568">
        <f t="shared" si="79"/>
        <v>6015850.4465496792</v>
      </c>
      <c r="X72" s="469"/>
      <c r="Y72" s="512"/>
    </row>
    <row r="73" spans="2:34" s="508" customFormat="1" hidden="1" outlineLevel="1" x14ac:dyDescent="0.25">
      <c r="B73" s="547"/>
      <c r="C73" s="509"/>
      <c r="D73" s="509"/>
      <c r="E73" s="718"/>
      <c r="F73" s="569"/>
      <c r="G73" s="671"/>
      <c r="H73" s="569"/>
      <c r="I73" s="569"/>
      <c r="J73" s="569"/>
      <c r="K73" s="569"/>
      <c r="L73" s="671"/>
      <c r="M73" s="569"/>
      <c r="N73" s="569"/>
      <c r="O73" s="569"/>
      <c r="P73" s="569"/>
      <c r="Q73" s="569"/>
      <c r="R73" s="569"/>
      <c r="S73" s="569"/>
      <c r="T73" s="569"/>
      <c r="U73" s="569"/>
      <c r="V73" s="569"/>
      <c r="W73" s="570">
        <f t="shared" si="79"/>
        <v>0</v>
      </c>
      <c r="X73" s="571"/>
      <c r="Y73" s="545"/>
    </row>
    <row r="74" spans="2:34" s="534" customFormat="1" hidden="1" outlineLevel="2" x14ac:dyDescent="0.25">
      <c r="B74" s="547" t="s">
        <v>230</v>
      </c>
      <c r="C74" s="475" t="s">
        <v>195</v>
      </c>
      <c r="E74" s="712"/>
      <c r="F74" s="490">
        <f>F30</f>
        <v>100000</v>
      </c>
      <c r="G74" s="663">
        <f t="shared" ref="G74" si="83">SUM(E74:F74)</f>
        <v>100000</v>
      </c>
      <c r="H74" s="488"/>
      <c r="I74" s="488"/>
      <c r="J74" s="488"/>
      <c r="K74" s="488"/>
      <c r="L74" s="663"/>
      <c r="M74" s="483"/>
      <c r="N74" s="483"/>
      <c r="O74" s="483"/>
      <c r="P74" s="483"/>
      <c r="Q74" s="467"/>
      <c r="R74" s="483"/>
      <c r="S74" s="483"/>
      <c r="T74" s="483"/>
      <c r="U74" s="483"/>
      <c r="V74" s="467"/>
      <c r="W74" s="468">
        <f t="shared" si="79"/>
        <v>100000</v>
      </c>
      <c r="X74" s="469"/>
      <c r="Y74" s="533"/>
    </row>
    <row r="75" spans="2:34" s="534" customFormat="1" hidden="1" outlineLevel="2" x14ac:dyDescent="0.25">
      <c r="B75" s="547" t="s">
        <v>270</v>
      </c>
      <c r="C75" s="475"/>
      <c r="E75" s="489"/>
      <c r="F75" s="490">
        <f>F31</f>
        <v>164003.40000000002</v>
      </c>
      <c r="G75" s="663">
        <f>SUM(E75:F75)</f>
        <v>164003.40000000002</v>
      </c>
      <c r="H75" s="488"/>
      <c r="I75" s="488"/>
      <c r="J75" s="488"/>
      <c r="K75" s="488"/>
      <c r="L75" s="663"/>
      <c r="M75" s="483"/>
      <c r="N75" s="483"/>
      <c r="O75" s="483"/>
      <c r="P75" s="483"/>
      <c r="Q75" s="467"/>
      <c r="R75" s="483"/>
      <c r="S75" s="483"/>
      <c r="T75" s="483"/>
      <c r="U75" s="483"/>
      <c r="V75" s="467"/>
      <c r="W75" s="468">
        <f t="shared" si="79"/>
        <v>164003.40000000002</v>
      </c>
      <c r="X75" s="469"/>
      <c r="Y75" s="533"/>
    </row>
    <row r="76" spans="2:34" s="534" customFormat="1" hidden="1" outlineLevel="2" x14ac:dyDescent="0.25">
      <c r="B76" s="547"/>
      <c r="C76" s="475"/>
      <c r="E76" s="710"/>
      <c r="F76" s="485"/>
      <c r="G76" s="664"/>
      <c r="H76" s="469"/>
      <c r="I76" s="513"/>
      <c r="J76" s="513"/>
      <c r="K76" s="513"/>
      <c r="L76" s="664"/>
      <c r="M76" s="471"/>
      <c r="N76" s="475"/>
      <c r="O76" s="475"/>
      <c r="P76" s="475"/>
      <c r="Q76" s="470"/>
      <c r="R76" s="471"/>
      <c r="S76" s="475"/>
      <c r="T76" s="475"/>
      <c r="U76" s="475"/>
      <c r="V76" s="470"/>
      <c r="W76" s="473"/>
      <c r="X76" s="469"/>
      <c r="Y76" s="533"/>
    </row>
    <row r="77" spans="2:34" s="534" customFormat="1" hidden="1" outlineLevel="2" x14ac:dyDescent="0.25">
      <c r="B77" s="547" t="s">
        <v>198</v>
      </c>
      <c r="C77" s="475"/>
      <c r="E77" s="710"/>
      <c r="F77" s="485"/>
      <c r="G77" s="664"/>
      <c r="H77" s="469"/>
      <c r="I77" s="513"/>
      <c r="J77" s="513"/>
      <c r="K77" s="513"/>
      <c r="L77" s="664"/>
      <c r="M77" s="471"/>
      <c r="N77" s="475"/>
      <c r="O77" s="475"/>
      <c r="P77" s="475"/>
      <c r="Q77" s="470"/>
      <c r="R77" s="471"/>
      <c r="S77" s="475"/>
      <c r="T77" s="475"/>
      <c r="U77" s="475"/>
      <c r="V77" s="470"/>
      <c r="W77" s="473"/>
      <c r="X77" s="469"/>
      <c r="Y77" s="533"/>
    </row>
    <row r="78" spans="2:34" s="533" customFormat="1" ht="15" hidden="1" customHeight="1" outlineLevel="3" collapsed="1" x14ac:dyDescent="0.25">
      <c r="B78" s="703" t="s">
        <v>226</v>
      </c>
      <c r="C78" s="537"/>
      <c r="D78" s="537"/>
      <c r="E78" s="622">
        <f t="shared" ref="E78:V78" si="84">E36+E63</f>
        <v>0</v>
      </c>
      <c r="F78" s="485">
        <f t="shared" si="84"/>
        <v>348949.57383066136</v>
      </c>
      <c r="G78" s="664">
        <f t="shared" si="84"/>
        <v>348949.57383066136</v>
      </c>
      <c r="H78" s="485">
        <f t="shared" si="84"/>
        <v>473310.82383066136</v>
      </c>
      <c r="I78" s="485">
        <f t="shared" si="84"/>
        <v>473310.82383066136</v>
      </c>
      <c r="J78" s="485">
        <f t="shared" si="84"/>
        <v>514764.57383066136</v>
      </c>
      <c r="K78" s="485">
        <f t="shared" si="84"/>
        <v>514764.57383066136</v>
      </c>
      <c r="L78" s="664">
        <f t="shared" si="84"/>
        <v>1976150.7953226455</v>
      </c>
      <c r="M78" s="485">
        <f t="shared" si="84"/>
        <v>540502.80252219446</v>
      </c>
      <c r="N78" s="485">
        <f t="shared" si="84"/>
        <v>540502.80252219446</v>
      </c>
      <c r="O78" s="485">
        <f t="shared" si="84"/>
        <v>540502.80252219446</v>
      </c>
      <c r="P78" s="485">
        <f t="shared" si="84"/>
        <v>540502.80252219446</v>
      </c>
      <c r="Q78" s="470">
        <f t="shared" si="84"/>
        <v>2162011.2100887778</v>
      </c>
      <c r="R78" s="485">
        <f t="shared" si="84"/>
        <v>567527.94264830416</v>
      </c>
      <c r="S78" s="485">
        <f t="shared" si="84"/>
        <v>567527.94264830416</v>
      </c>
      <c r="T78" s="485">
        <f t="shared" si="84"/>
        <v>567527.94264830416</v>
      </c>
      <c r="U78" s="485">
        <f t="shared" si="84"/>
        <v>567527.94264830416</v>
      </c>
      <c r="V78" s="470">
        <f t="shared" si="84"/>
        <v>2270111.7705932166</v>
      </c>
      <c r="W78" s="473">
        <f>W36+W63</f>
        <v>6757223.3498353017</v>
      </c>
      <c r="X78" s="469"/>
      <c r="Y78" s="770"/>
      <c r="Z78" s="770"/>
      <c r="AA78" s="770"/>
      <c r="AB78" s="770"/>
      <c r="AC78" s="770"/>
      <c r="AD78" s="770"/>
      <c r="AE78" s="770"/>
      <c r="AF78" s="770"/>
      <c r="AG78" s="770"/>
      <c r="AH78" s="770"/>
    </row>
    <row r="79" spans="2:34" s="533" customFormat="1" hidden="1" outlineLevel="3" x14ac:dyDescent="0.25">
      <c r="B79" s="703" t="s">
        <v>202</v>
      </c>
      <c r="C79" s="537"/>
      <c r="D79" s="537"/>
      <c r="E79" s="622">
        <f t="shared" ref="E79:V79" si="85">E38+E65</f>
        <v>0</v>
      </c>
      <c r="F79" s="485">
        <f t="shared" si="85"/>
        <v>40391.200957601541</v>
      </c>
      <c r="G79" s="664">
        <f t="shared" si="85"/>
        <v>40391.200957601541</v>
      </c>
      <c r="H79" s="485">
        <f t="shared" si="85"/>
        <v>52827.325957601541</v>
      </c>
      <c r="I79" s="485">
        <f t="shared" si="85"/>
        <v>52827.325957601541</v>
      </c>
      <c r="J79" s="485">
        <f t="shared" si="85"/>
        <v>56972.700957601541</v>
      </c>
      <c r="K79" s="485">
        <f t="shared" si="85"/>
        <v>56972.700957601541</v>
      </c>
      <c r="L79" s="664">
        <f t="shared" si="85"/>
        <v>219600.05383040616</v>
      </c>
      <c r="M79" s="485">
        <f t="shared" si="85"/>
        <v>59821.336005481622</v>
      </c>
      <c r="N79" s="485">
        <f t="shared" si="85"/>
        <v>59821.336005481622</v>
      </c>
      <c r="O79" s="485">
        <f t="shared" si="85"/>
        <v>59821.336005481622</v>
      </c>
      <c r="P79" s="485">
        <f t="shared" si="85"/>
        <v>59821.336005481622</v>
      </c>
      <c r="Q79" s="470">
        <f t="shared" si="85"/>
        <v>239285.34402192649</v>
      </c>
      <c r="R79" s="485">
        <f t="shared" si="85"/>
        <v>62812.402805755701</v>
      </c>
      <c r="S79" s="485">
        <f t="shared" si="85"/>
        <v>62812.402805755701</v>
      </c>
      <c r="T79" s="485">
        <f t="shared" si="85"/>
        <v>62812.402805755701</v>
      </c>
      <c r="U79" s="485">
        <f t="shared" si="85"/>
        <v>62812.402805755701</v>
      </c>
      <c r="V79" s="470">
        <f t="shared" si="85"/>
        <v>251249.6112230228</v>
      </c>
      <c r="W79" s="473">
        <f>W38+W65</f>
        <v>750526.21003295702</v>
      </c>
      <c r="X79" s="469"/>
      <c r="Y79" s="770"/>
      <c r="Z79" s="770"/>
      <c r="AA79" s="770"/>
      <c r="AB79" s="770"/>
      <c r="AC79" s="770"/>
      <c r="AD79" s="770"/>
      <c r="AE79" s="770"/>
      <c r="AF79" s="770"/>
      <c r="AG79" s="770"/>
      <c r="AH79" s="770"/>
    </row>
    <row r="80" spans="2:34" s="533" customFormat="1" hidden="1" outlineLevel="3" x14ac:dyDescent="0.25">
      <c r="B80" s="703" t="s">
        <v>204</v>
      </c>
      <c r="C80" s="537"/>
      <c r="D80" s="537"/>
      <c r="E80" s="623">
        <f t="shared" ref="E80:W80" si="86">E40+E67</f>
        <v>0</v>
      </c>
      <c r="F80" s="475">
        <f t="shared" si="86"/>
        <v>58401.131218239432</v>
      </c>
      <c r="G80" s="664">
        <f t="shared" si="86"/>
        <v>58401.131218239432</v>
      </c>
      <c r="H80" s="475">
        <f t="shared" si="86"/>
        <v>78920.737468239429</v>
      </c>
      <c r="I80" s="475">
        <f t="shared" si="86"/>
        <v>78920.737468239429</v>
      </c>
      <c r="J80" s="475">
        <f t="shared" si="86"/>
        <v>85760.606218239438</v>
      </c>
      <c r="K80" s="475">
        <f t="shared" si="86"/>
        <v>85760.606218239438</v>
      </c>
      <c r="L80" s="664">
        <f t="shared" si="86"/>
        <v>329362.68737295771</v>
      </c>
      <c r="M80" s="475">
        <f t="shared" si="86"/>
        <v>90048.643279151394</v>
      </c>
      <c r="N80" s="475">
        <f t="shared" si="86"/>
        <v>90048.643279151394</v>
      </c>
      <c r="O80" s="475">
        <f t="shared" si="86"/>
        <v>90048.643279151394</v>
      </c>
      <c r="P80" s="475">
        <f t="shared" si="86"/>
        <v>90048.643279151394</v>
      </c>
      <c r="Q80" s="470">
        <f t="shared" si="86"/>
        <v>360194.57311660558</v>
      </c>
      <c r="R80" s="475">
        <f t="shared" si="86"/>
        <v>94551.074318108978</v>
      </c>
      <c r="S80" s="475">
        <f t="shared" si="86"/>
        <v>94551.066818108986</v>
      </c>
      <c r="T80" s="475">
        <f t="shared" si="86"/>
        <v>94551.066818108986</v>
      </c>
      <c r="U80" s="475">
        <f t="shared" si="86"/>
        <v>94551.066818108986</v>
      </c>
      <c r="V80" s="470">
        <f t="shared" si="86"/>
        <v>378204.27477243589</v>
      </c>
      <c r="W80" s="473">
        <f t="shared" si="86"/>
        <v>1126162.6664802388</v>
      </c>
      <c r="X80" s="469"/>
      <c r="Y80" s="770"/>
      <c r="Z80" s="770"/>
      <c r="AA80" s="770"/>
      <c r="AB80" s="770"/>
      <c r="AC80" s="770"/>
      <c r="AD80" s="770"/>
      <c r="AE80" s="770"/>
      <c r="AF80" s="770"/>
      <c r="AG80" s="770"/>
      <c r="AH80" s="770"/>
    </row>
    <row r="81" spans="2:34" s="533" customFormat="1" hidden="1" outlineLevel="3" x14ac:dyDescent="0.25">
      <c r="B81" s="703" t="s">
        <v>205</v>
      </c>
      <c r="C81" s="537"/>
      <c r="D81" s="537"/>
      <c r="E81" s="712">
        <f t="shared" ref="E81:W81" si="87">E41+E68</f>
        <v>0</v>
      </c>
      <c r="F81" s="483">
        <f t="shared" si="87"/>
        <v>104157.5</v>
      </c>
      <c r="G81" s="663">
        <f t="shared" si="87"/>
        <v>104157.5</v>
      </c>
      <c r="H81" s="483">
        <f t="shared" si="87"/>
        <v>104157.5</v>
      </c>
      <c r="I81" s="483">
        <f t="shared" si="87"/>
        <v>21250</v>
      </c>
      <c r="J81" s="483">
        <f t="shared" si="87"/>
        <v>48885.833333333328</v>
      </c>
      <c r="K81" s="483">
        <f t="shared" si="87"/>
        <v>21250</v>
      </c>
      <c r="L81" s="663">
        <f t="shared" si="87"/>
        <v>195543.33333333331</v>
      </c>
      <c r="M81" s="483">
        <f t="shared" si="87"/>
        <v>21250</v>
      </c>
      <c r="N81" s="483">
        <f t="shared" si="87"/>
        <v>7083.3333333333339</v>
      </c>
      <c r="O81" s="483">
        <f t="shared" si="87"/>
        <v>7083.3333333333339</v>
      </c>
      <c r="P81" s="483">
        <f t="shared" si="87"/>
        <v>7083.3333333333339</v>
      </c>
      <c r="Q81" s="467">
        <f t="shared" si="87"/>
        <v>42500.000000000007</v>
      </c>
      <c r="R81" s="483">
        <f t="shared" si="87"/>
        <v>7083.3333333333339</v>
      </c>
      <c r="S81" s="483">
        <f t="shared" si="87"/>
        <v>7083.3333333333339</v>
      </c>
      <c r="T81" s="483">
        <f t="shared" si="87"/>
        <v>7083.3333333333339</v>
      </c>
      <c r="U81" s="483">
        <f t="shared" si="87"/>
        <v>0</v>
      </c>
      <c r="V81" s="467">
        <f t="shared" si="87"/>
        <v>21250</v>
      </c>
      <c r="W81" s="468">
        <f t="shared" si="87"/>
        <v>363450.83333333331</v>
      </c>
      <c r="X81" s="469"/>
      <c r="Y81" s="546"/>
      <c r="Z81" s="546"/>
      <c r="AA81" s="546"/>
      <c r="AB81" s="546"/>
      <c r="AC81" s="546"/>
      <c r="AD81" s="546"/>
      <c r="AE81" s="546"/>
      <c r="AF81" s="546"/>
      <c r="AG81" s="546"/>
      <c r="AH81" s="546"/>
    </row>
    <row r="82" spans="2:34" s="533" customFormat="1" hidden="1" outlineLevel="3" x14ac:dyDescent="0.25">
      <c r="B82" s="703" t="s">
        <v>206</v>
      </c>
      <c r="C82" s="537"/>
      <c r="D82" s="537"/>
      <c r="E82" s="712">
        <f t="shared" ref="E82:W82" si="88">E42+E69</f>
        <v>0</v>
      </c>
      <c r="F82" s="483">
        <f t="shared" si="88"/>
        <v>240224.74625</v>
      </c>
      <c r="G82" s="663">
        <f t="shared" si="88"/>
        <v>240224.64624999999</v>
      </c>
      <c r="H82" s="483">
        <f t="shared" si="88"/>
        <v>397541.72749999998</v>
      </c>
      <c r="I82" s="483">
        <f t="shared" si="88"/>
        <v>314634.22749999998</v>
      </c>
      <c r="J82" s="483">
        <f t="shared" si="88"/>
        <v>394709.05458333332</v>
      </c>
      <c r="K82" s="483">
        <f t="shared" si="88"/>
        <v>367073.22125</v>
      </c>
      <c r="L82" s="663">
        <f t="shared" si="88"/>
        <v>1473957.3808333331</v>
      </c>
      <c r="M82" s="483">
        <f t="shared" si="88"/>
        <v>385426.86906249996</v>
      </c>
      <c r="N82" s="483">
        <f t="shared" si="88"/>
        <v>385426.86906249996</v>
      </c>
      <c r="O82" s="483">
        <f t="shared" si="88"/>
        <v>385426.86906249996</v>
      </c>
      <c r="P82" s="483">
        <f t="shared" si="88"/>
        <v>385426.86906249996</v>
      </c>
      <c r="Q82" s="467">
        <f t="shared" si="88"/>
        <v>1541706.6262499997</v>
      </c>
      <c r="R82" s="483">
        <f t="shared" si="88"/>
        <v>404698.19926562498</v>
      </c>
      <c r="S82" s="483">
        <f t="shared" si="88"/>
        <v>404698.19926562498</v>
      </c>
      <c r="T82" s="483">
        <f t="shared" si="88"/>
        <v>404698.19926562498</v>
      </c>
      <c r="U82" s="483">
        <f t="shared" si="88"/>
        <v>404698.19926562498</v>
      </c>
      <c r="V82" s="467">
        <f t="shared" si="88"/>
        <v>1618791.9470624998</v>
      </c>
      <c r="W82" s="468">
        <f t="shared" si="88"/>
        <v>4874680.6003958331</v>
      </c>
      <c r="X82" s="469"/>
      <c r="Y82" s="546"/>
      <c r="Z82" s="546"/>
      <c r="AA82" s="546"/>
      <c r="AB82" s="546"/>
      <c r="AC82" s="546"/>
      <c r="AD82" s="546"/>
      <c r="AE82" s="546"/>
      <c r="AF82" s="546"/>
      <c r="AG82" s="546"/>
      <c r="AH82" s="546"/>
    </row>
    <row r="83" spans="2:34" s="533" customFormat="1" hidden="1" outlineLevel="3" x14ac:dyDescent="0.25">
      <c r="B83" s="703" t="s">
        <v>228</v>
      </c>
      <c r="C83" s="537"/>
      <c r="D83" s="537"/>
      <c r="E83" s="712">
        <f>E68</f>
        <v>0</v>
      </c>
      <c r="F83" s="483">
        <f>F68</f>
        <v>82907.5</v>
      </c>
      <c r="G83" s="663">
        <f>SUM(E83:F83)</f>
        <v>82907.5</v>
      </c>
      <c r="H83" s="483">
        <f>H68</f>
        <v>82907.5</v>
      </c>
      <c r="I83" s="483">
        <f>I68</f>
        <v>0</v>
      </c>
      <c r="J83" s="483">
        <f>J68</f>
        <v>27635.833333333332</v>
      </c>
      <c r="K83" s="483">
        <f>K68</f>
        <v>0</v>
      </c>
      <c r="L83" s="663">
        <f t="shared" ref="L83:L96" si="89">SUM(H83:K83)</f>
        <v>110543.33333333333</v>
      </c>
      <c r="M83" s="483">
        <f>M68</f>
        <v>0</v>
      </c>
      <c r="N83" s="483">
        <f>N68</f>
        <v>0</v>
      </c>
      <c r="O83" s="483">
        <f>O68</f>
        <v>0</v>
      </c>
      <c r="P83" s="483">
        <f>P68</f>
        <v>0</v>
      </c>
      <c r="Q83" s="467">
        <f t="shared" ref="Q83:Q97" si="90">SUM(M83:P83)</f>
        <v>0</v>
      </c>
      <c r="R83" s="483">
        <f>R68</f>
        <v>0</v>
      </c>
      <c r="S83" s="483">
        <f>S68</f>
        <v>0</v>
      </c>
      <c r="T83" s="483">
        <f>T68</f>
        <v>0</v>
      </c>
      <c r="U83" s="483">
        <f>U68</f>
        <v>0</v>
      </c>
      <c r="V83" s="467">
        <f t="shared" ref="V83:V97" si="91">SUM(R83:U83)</f>
        <v>0</v>
      </c>
      <c r="W83" s="468">
        <f>G83+L83+Q83+V83</f>
        <v>193450.83333333331</v>
      </c>
      <c r="X83" s="469"/>
      <c r="Y83" s="567" t="s">
        <v>231</v>
      </c>
      <c r="Z83" s="546"/>
      <c r="AA83" s="546"/>
      <c r="AB83" s="546"/>
      <c r="AC83" s="546"/>
      <c r="AD83" s="546"/>
      <c r="AE83" s="546"/>
      <c r="AF83" s="546"/>
      <c r="AG83" s="546"/>
      <c r="AH83" s="546"/>
    </row>
    <row r="84" spans="2:34" s="533" customFormat="1" hidden="1" outlineLevel="2" x14ac:dyDescent="0.25">
      <c r="B84" s="757" t="s">
        <v>207</v>
      </c>
      <c r="C84" s="537"/>
      <c r="D84" s="537"/>
      <c r="E84" s="622">
        <f>E43+E69</f>
        <v>0</v>
      </c>
      <c r="F84" s="485">
        <f>F43+F69</f>
        <v>551899.80600650236</v>
      </c>
      <c r="G84" s="664">
        <f t="shared" ref="G84:G86" si="92">SUM(E84:F84)</f>
        <v>551899.80600650236</v>
      </c>
      <c r="H84" s="485">
        <f>H43+H69</f>
        <v>709216.78725650231</v>
      </c>
      <c r="I84" s="485">
        <f>I43+I69</f>
        <v>626309.28725650231</v>
      </c>
      <c r="J84" s="485">
        <f>J43+J69</f>
        <v>706384.11433983571</v>
      </c>
      <c r="K84" s="485">
        <f>K43+K69</f>
        <v>678748.28100650234</v>
      </c>
      <c r="L84" s="664">
        <f t="shared" si="89"/>
        <v>2720658.4698593426</v>
      </c>
      <c r="M84" s="485">
        <f>M43+M69</f>
        <v>711623.23180682748</v>
      </c>
      <c r="N84" s="485">
        <f>N43+N69</f>
        <v>697456.5151401608</v>
      </c>
      <c r="O84" s="485">
        <f>O43+O69</f>
        <v>697456.5151401608</v>
      </c>
      <c r="P84" s="485">
        <f>P43+P69</f>
        <v>697456.5151401608</v>
      </c>
      <c r="Q84" s="470">
        <f t="shared" si="90"/>
        <v>2803992.77722731</v>
      </c>
      <c r="R84" s="485">
        <f>R43+R69</f>
        <v>731975.20310550218</v>
      </c>
      <c r="S84" s="485">
        <f>S43+S69</f>
        <v>731975.14560550218</v>
      </c>
      <c r="T84" s="485">
        <f>T43+T69</f>
        <v>731975.14560550218</v>
      </c>
      <c r="U84" s="485">
        <f>U43+U69</f>
        <v>724891.81227216893</v>
      </c>
      <c r="V84" s="470">
        <f t="shared" si="91"/>
        <v>2920817.3065886758</v>
      </c>
      <c r="W84" s="473">
        <f>G84+L84+Q84+V84</f>
        <v>8997368.3596818298</v>
      </c>
      <c r="X84" s="469"/>
      <c r="Y84" s="530"/>
      <c r="Z84" s="546"/>
      <c r="AA84" s="546"/>
      <c r="AB84" s="546"/>
      <c r="AC84" s="546"/>
      <c r="AD84" s="546"/>
      <c r="AE84" s="546"/>
      <c r="AF84" s="546"/>
      <c r="AG84" s="546"/>
      <c r="AH84" s="546"/>
    </row>
    <row r="85" spans="2:34" s="533" customFormat="1" hidden="1" outlineLevel="2" x14ac:dyDescent="0.25">
      <c r="B85" s="757" t="s">
        <v>209</v>
      </c>
      <c r="C85" s="536"/>
      <c r="D85" s="537"/>
      <c r="E85" s="622">
        <f>E45+E70</f>
        <v>0</v>
      </c>
      <c r="F85" s="485">
        <f>F45+F70</f>
        <v>17500</v>
      </c>
      <c r="G85" s="664">
        <f t="shared" si="92"/>
        <v>17500</v>
      </c>
      <c r="H85" s="485">
        <f t="shared" ref="H85:K86" si="93">H45+H70</f>
        <v>32500</v>
      </c>
      <c r="I85" s="485">
        <f t="shared" si="93"/>
        <v>32500</v>
      </c>
      <c r="J85" s="485">
        <f t="shared" si="93"/>
        <v>35000</v>
      </c>
      <c r="K85" s="485">
        <f t="shared" si="93"/>
        <v>35000</v>
      </c>
      <c r="L85" s="664">
        <f t="shared" si="89"/>
        <v>135000</v>
      </c>
      <c r="M85" s="485">
        <f t="shared" ref="M85:P86" si="94">M45+M70</f>
        <v>35000</v>
      </c>
      <c r="N85" s="485">
        <f t="shared" si="94"/>
        <v>35000</v>
      </c>
      <c r="O85" s="485">
        <f t="shared" si="94"/>
        <v>35000</v>
      </c>
      <c r="P85" s="485">
        <f t="shared" si="94"/>
        <v>35000</v>
      </c>
      <c r="Q85" s="470">
        <f t="shared" si="90"/>
        <v>140000</v>
      </c>
      <c r="R85" s="485">
        <f t="shared" ref="R85:U86" si="95">R45+R70</f>
        <v>35000</v>
      </c>
      <c r="S85" s="485">
        <f t="shared" si="95"/>
        <v>35000</v>
      </c>
      <c r="T85" s="485">
        <f t="shared" si="95"/>
        <v>35000</v>
      </c>
      <c r="U85" s="485">
        <f t="shared" si="95"/>
        <v>35000</v>
      </c>
      <c r="V85" s="470">
        <f t="shared" si="91"/>
        <v>140000</v>
      </c>
      <c r="W85" s="473">
        <f>G85+L85+Q85+V85</f>
        <v>432500</v>
      </c>
      <c r="X85" s="469"/>
      <c r="Y85" s="530"/>
    </row>
    <row r="86" spans="2:34" s="508" customFormat="1" hidden="1" outlineLevel="2" x14ac:dyDescent="0.25">
      <c r="B86" s="757" t="s">
        <v>229</v>
      </c>
      <c r="C86" s="509"/>
      <c r="D86" s="509"/>
      <c r="E86" s="623">
        <f>E46+E71</f>
        <v>0</v>
      </c>
      <c r="F86" s="475">
        <f>F46+F71</f>
        <v>22963</v>
      </c>
      <c r="G86" s="664">
        <f t="shared" si="92"/>
        <v>22963</v>
      </c>
      <c r="H86" s="475">
        <f t="shared" si="93"/>
        <v>177439</v>
      </c>
      <c r="I86" s="475">
        <f t="shared" si="93"/>
        <v>177439</v>
      </c>
      <c r="J86" s="475">
        <f t="shared" si="93"/>
        <v>154476</v>
      </c>
      <c r="K86" s="475">
        <f t="shared" si="93"/>
        <v>154476</v>
      </c>
      <c r="L86" s="664">
        <f>SUM(H86:K86)</f>
        <v>663830</v>
      </c>
      <c r="M86" s="475">
        <f t="shared" si="94"/>
        <v>154476</v>
      </c>
      <c r="N86" s="475">
        <f t="shared" si="94"/>
        <v>154476</v>
      </c>
      <c r="O86" s="475">
        <f t="shared" si="94"/>
        <v>154476</v>
      </c>
      <c r="P86" s="475">
        <f t="shared" si="94"/>
        <v>154476</v>
      </c>
      <c r="Q86" s="470">
        <f t="shared" si="90"/>
        <v>617904</v>
      </c>
      <c r="R86" s="475">
        <f t="shared" si="95"/>
        <v>154476</v>
      </c>
      <c r="S86" s="475">
        <f t="shared" si="95"/>
        <v>154476</v>
      </c>
      <c r="T86" s="475">
        <f t="shared" si="95"/>
        <v>154476</v>
      </c>
      <c r="U86" s="475">
        <f t="shared" si="95"/>
        <v>154476</v>
      </c>
      <c r="V86" s="470">
        <f t="shared" si="91"/>
        <v>617904</v>
      </c>
      <c r="W86" s="473">
        <f>G86+L86+Q86+V86</f>
        <v>1922601</v>
      </c>
      <c r="X86" s="469"/>
      <c r="Y86" s="545"/>
    </row>
    <row r="87" spans="2:34" s="508" customFormat="1" ht="12.6" hidden="1" customHeight="1" outlineLevel="2" x14ac:dyDescent="0.25">
      <c r="B87" s="547" t="s">
        <v>323</v>
      </c>
      <c r="C87" s="509"/>
      <c r="D87" s="509"/>
      <c r="E87" s="489">
        <f t="shared" ref="E87:W87" si="96">E47</f>
        <v>0</v>
      </c>
      <c r="F87" s="483">
        <f t="shared" si="96"/>
        <v>0</v>
      </c>
      <c r="G87" s="663">
        <f t="shared" si="96"/>
        <v>0</v>
      </c>
      <c r="H87" s="483">
        <f t="shared" si="96"/>
        <v>0</v>
      </c>
      <c r="I87" s="483">
        <f t="shared" si="96"/>
        <v>0</v>
      </c>
      <c r="J87" s="483">
        <f t="shared" si="96"/>
        <v>0</v>
      </c>
      <c r="K87" s="483">
        <f t="shared" si="96"/>
        <v>375000</v>
      </c>
      <c r="L87" s="663">
        <f t="shared" si="96"/>
        <v>375000</v>
      </c>
      <c r="M87" s="483">
        <f t="shared" si="96"/>
        <v>0</v>
      </c>
      <c r="N87" s="483">
        <f t="shared" si="96"/>
        <v>0</v>
      </c>
      <c r="O87" s="483">
        <f t="shared" si="96"/>
        <v>0</v>
      </c>
      <c r="P87" s="483">
        <f t="shared" si="96"/>
        <v>375000</v>
      </c>
      <c r="Q87" s="467">
        <f t="shared" si="96"/>
        <v>375000</v>
      </c>
      <c r="R87" s="483">
        <f t="shared" si="96"/>
        <v>0</v>
      </c>
      <c r="S87" s="483">
        <f t="shared" si="96"/>
        <v>0</v>
      </c>
      <c r="T87" s="483">
        <f t="shared" si="96"/>
        <v>0</v>
      </c>
      <c r="U87" s="483">
        <f t="shared" si="96"/>
        <v>750000</v>
      </c>
      <c r="V87" s="467">
        <f t="shared" si="96"/>
        <v>750000</v>
      </c>
      <c r="W87" s="468">
        <f t="shared" si="96"/>
        <v>1500000</v>
      </c>
      <c r="X87" s="469"/>
      <c r="Y87" s="545"/>
    </row>
    <row r="88" spans="2:34" s="508" customFormat="1" ht="12.6" hidden="1" customHeight="1" outlineLevel="2" x14ac:dyDescent="0.25">
      <c r="B88" s="547" t="s">
        <v>212</v>
      </c>
      <c r="C88" s="509"/>
      <c r="D88" s="509"/>
      <c r="E88" s="489">
        <f t="shared" ref="E88:W88" si="97">E48</f>
        <v>43750</v>
      </c>
      <c r="F88" s="483">
        <f t="shared" si="97"/>
        <v>0</v>
      </c>
      <c r="G88" s="663">
        <f t="shared" si="97"/>
        <v>43750</v>
      </c>
      <c r="H88" s="483">
        <f t="shared" si="97"/>
        <v>0</v>
      </c>
      <c r="I88" s="483">
        <f t="shared" si="97"/>
        <v>0</v>
      </c>
      <c r="J88" s="483">
        <f t="shared" si="97"/>
        <v>0</v>
      </c>
      <c r="K88" s="483">
        <f t="shared" si="97"/>
        <v>0</v>
      </c>
      <c r="L88" s="663">
        <f t="shared" si="97"/>
        <v>0</v>
      </c>
      <c r="M88" s="483">
        <f t="shared" si="97"/>
        <v>0</v>
      </c>
      <c r="N88" s="483">
        <f t="shared" si="97"/>
        <v>0</v>
      </c>
      <c r="O88" s="483">
        <f t="shared" si="97"/>
        <v>0</v>
      </c>
      <c r="P88" s="483">
        <f t="shared" si="97"/>
        <v>0</v>
      </c>
      <c r="Q88" s="467">
        <f t="shared" si="97"/>
        <v>0</v>
      </c>
      <c r="R88" s="483">
        <f t="shared" si="97"/>
        <v>0</v>
      </c>
      <c r="S88" s="483">
        <f t="shared" si="97"/>
        <v>0</v>
      </c>
      <c r="T88" s="483">
        <f t="shared" si="97"/>
        <v>0</v>
      </c>
      <c r="U88" s="483">
        <f t="shared" si="97"/>
        <v>0</v>
      </c>
      <c r="V88" s="467">
        <f t="shared" si="97"/>
        <v>0</v>
      </c>
      <c r="W88" s="468">
        <f t="shared" si="97"/>
        <v>43750</v>
      </c>
      <c r="X88" s="469"/>
      <c r="Y88" s="545"/>
    </row>
    <row r="89" spans="2:34" s="508" customFormat="1" hidden="1" outlineLevel="2" x14ac:dyDescent="0.25">
      <c r="B89" s="547" t="s">
        <v>214</v>
      </c>
      <c r="C89" s="509"/>
      <c r="D89" s="509"/>
      <c r="E89" s="583">
        <f t="shared" ref="E89:K95" si="98">E49</f>
        <v>0</v>
      </c>
      <c r="F89" s="490">
        <f t="shared" si="98"/>
        <v>90000</v>
      </c>
      <c r="G89" s="663">
        <f t="shared" si="98"/>
        <v>90000</v>
      </c>
      <c r="H89" s="490">
        <f t="shared" si="98"/>
        <v>0</v>
      </c>
      <c r="I89" s="490">
        <f t="shared" si="98"/>
        <v>0</v>
      </c>
      <c r="J89" s="490">
        <f t="shared" si="98"/>
        <v>0</v>
      </c>
      <c r="K89" s="490">
        <f t="shared" si="98"/>
        <v>0</v>
      </c>
      <c r="L89" s="663">
        <f t="shared" si="89"/>
        <v>0</v>
      </c>
      <c r="M89" s="490">
        <f t="shared" ref="M89:P95" si="99">M49</f>
        <v>0</v>
      </c>
      <c r="N89" s="490">
        <f t="shared" si="99"/>
        <v>0</v>
      </c>
      <c r="O89" s="490">
        <f t="shared" si="99"/>
        <v>0</v>
      </c>
      <c r="P89" s="490">
        <f t="shared" si="99"/>
        <v>0</v>
      </c>
      <c r="Q89" s="467">
        <f t="shared" si="90"/>
        <v>0</v>
      </c>
      <c r="R89" s="490">
        <f t="shared" ref="R89:U95" si="100">R49</f>
        <v>0</v>
      </c>
      <c r="S89" s="490">
        <f t="shared" si="100"/>
        <v>0</v>
      </c>
      <c r="T89" s="490">
        <f t="shared" si="100"/>
        <v>0</v>
      </c>
      <c r="U89" s="490">
        <f t="shared" si="100"/>
        <v>0</v>
      </c>
      <c r="V89" s="467">
        <f t="shared" si="91"/>
        <v>0</v>
      </c>
      <c r="W89" s="468">
        <f t="shared" ref="W89:W95" si="101">W49</f>
        <v>90000</v>
      </c>
      <c r="X89" s="469"/>
      <c r="Y89" s="545"/>
    </row>
    <row r="90" spans="2:34" s="534" customFormat="1" hidden="1" outlineLevel="2" x14ac:dyDescent="0.25">
      <c r="B90" s="547" t="s">
        <v>215</v>
      </c>
      <c r="C90" s="475" t="s">
        <v>213</v>
      </c>
      <c r="E90" s="622">
        <f t="shared" si="98"/>
        <v>0</v>
      </c>
      <c r="F90" s="485">
        <f t="shared" si="98"/>
        <v>20000</v>
      </c>
      <c r="G90" s="664">
        <f t="shared" si="98"/>
        <v>20000</v>
      </c>
      <c r="H90" s="485">
        <f t="shared" si="98"/>
        <v>10000</v>
      </c>
      <c r="I90" s="485">
        <f t="shared" si="98"/>
        <v>10000</v>
      </c>
      <c r="J90" s="485">
        <f t="shared" si="98"/>
        <v>20000</v>
      </c>
      <c r="K90" s="485">
        <f t="shared" si="98"/>
        <v>10000</v>
      </c>
      <c r="L90" s="664">
        <f t="shared" si="89"/>
        <v>50000</v>
      </c>
      <c r="M90" s="485">
        <f t="shared" si="99"/>
        <v>10000</v>
      </c>
      <c r="N90" s="485">
        <f t="shared" si="99"/>
        <v>10000</v>
      </c>
      <c r="O90" s="485">
        <f t="shared" si="99"/>
        <v>10000</v>
      </c>
      <c r="P90" s="485">
        <f t="shared" si="99"/>
        <v>10000</v>
      </c>
      <c r="Q90" s="470">
        <f t="shared" si="90"/>
        <v>40000</v>
      </c>
      <c r="R90" s="485">
        <f t="shared" si="100"/>
        <v>10000</v>
      </c>
      <c r="S90" s="485">
        <f t="shared" si="100"/>
        <v>10000</v>
      </c>
      <c r="T90" s="485">
        <f t="shared" si="100"/>
        <v>10000</v>
      </c>
      <c r="U90" s="485">
        <f t="shared" si="100"/>
        <v>10000</v>
      </c>
      <c r="V90" s="470">
        <f t="shared" si="91"/>
        <v>40000</v>
      </c>
      <c r="W90" s="473">
        <f t="shared" si="101"/>
        <v>150000</v>
      </c>
      <c r="X90" s="469"/>
      <c r="Y90" s="545"/>
      <c r="Z90" s="508"/>
      <c r="AA90" s="508"/>
    </row>
    <row r="91" spans="2:34" s="534" customFormat="1" hidden="1" outlineLevel="2" x14ac:dyDescent="0.25">
      <c r="B91" s="547" t="s">
        <v>232</v>
      </c>
      <c r="C91" s="475" t="s">
        <v>124</v>
      </c>
      <c r="E91" s="489">
        <f t="shared" si="98"/>
        <v>0</v>
      </c>
      <c r="F91" s="483">
        <f t="shared" si="98"/>
        <v>45000</v>
      </c>
      <c r="G91" s="663">
        <f t="shared" si="98"/>
        <v>45000</v>
      </c>
      <c r="H91" s="483">
        <f t="shared" si="98"/>
        <v>0</v>
      </c>
      <c r="I91" s="483">
        <f t="shared" si="98"/>
        <v>0</v>
      </c>
      <c r="J91" s="483">
        <f t="shared" si="98"/>
        <v>0</v>
      </c>
      <c r="K91" s="483">
        <f t="shared" si="98"/>
        <v>0</v>
      </c>
      <c r="L91" s="663">
        <f t="shared" si="89"/>
        <v>0</v>
      </c>
      <c r="M91" s="483">
        <f t="shared" si="99"/>
        <v>0</v>
      </c>
      <c r="N91" s="483">
        <f t="shared" si="99"/>
        <v>0</v>
      </c>
      <c r="O91" s="483">
        <f t="shared" si="99"/>
        <v>0</v>
      </c>
      <c r="P91" s="483">
        <f t="shared" si="99"/>
        <v>0</v>
      </c>
      <c r="Q91" s="467">
        <f t="shared" si="90"/>
        <v>0</v>
      </c>
      <c r="R91" s="483">
        <f t="shared" si="100"/>
        <v>0</v>
      </c>
      <c r="S91" s="483">
        <f t="shared" si="100"/>
        <v>0</v>
      </c>
      <c r="T91" s="483">
        <f t="shared" si="100"/>
        <v>0</v>
      </c>
      <c r="U91" s="483">
        <f t="shared" si="100"/>
        <v>0</v>
      </c>
      <c r="V91" s="467">
        <f t="shared" si="91"/>
        <v>0</v>
      </c>
      <c r="W91" s="468">
        <f t="shared" si="101"/>
        <v>45000</v>
      </c>
      <c r="X91" s="469"/>
      <c r="Y91" s="533"/>
    </row>
    <row r="92" spans="2:34" s="534" customFormat="1" hidden="1" outlineLevel="2" x14ac:dyDescent="0.25">
      <c r="B92" s="547" t="s">
        <v>217</v>
      </c>
      <c r="C92" s="475" t="s">
        <v>76</v>
      </c>
      <c r="E92" s="583">
        <f t="shared" si="98"/>
        <v>0</v>
      </c>
      <c r="F92" s="490">
        <f t="shared" si="98"/>
        <v>425000</v>
      </c>
      <c r="G92" s="663">
        <f t="shared" si="98"/>
        <v>425000</v>
      </c>
      <c r="H92" s="490">
        <f t="shared" si="98"/>
        <v>0</v>
      </c>
      <c r="I92" s="490">
        <f t="shared" si="98"/>
        <v>0</v>
      </c>
      <c r="J92" s="490">
        <f t="shared" si="98"/>
        <v>0</v>
      </c>
      <c r="K92" s="490">
        <f t="shared" si="98"/>
        <v>0</v>
      </c>
      <c r="L92" s="663">
        <f t="shared" si="89"/>
        <v>0</v>
      </c>
      <c r="M92" s="490">
        <f t="shared" si="99"/>
        <v>0</v>
      </c>
      <c r="N92" s="490">
        <f t="shared" si="99"/>
        <v>0</v>
      </c>
      <c r="O92" s="490">
        <f t="shared" si="99"/>
        <v>0</v>
      </c>
      <c r="P92" s="490">
        <f t="shared" si="99"/>
        <v>0</v>
      </c>
      <c r="Q92" s="467">
        <f t="shared" si="90"/>
        <v>0</v>
      </c>
      <c r="R92" s="490">
        <f t="shared" si="100"/>
        <v>0</v>
      </c>
      <c r="S92" s="490">
        <f t="shared" si="100"/>
        <v>0</v>
      </c>
      <c r="T92" s="490">
        <f t="shared" si="100"/>
        <v>0</v>
      </c>
      <c r="U92" s="490">
        <f t="shared" si="100"/>
        <v>0</v>
      </c>
      <c r="V92" s="467">
        <f t="shared" si="91"/>
        <v>0</v>
      </c>
      <c r="W92" s="468">
        <f t="shared" si="101"/>
        <v>425000</v>
      </c>
      <c r="X92" s="469"/>
      <c r="Y92" s="530"/>
    </row>
    <row r="93" spans="2:34" s="534" customFormat="1" hidden="1" outlineLevel="2" x14ac:dyDescent="0.25">
      <c r="B93" s="547" t="s">
        <v>233</v>
      </c>
      <c r="C93" s="475" t="s">
        <v>219</v>
      </c>
      <c r="E93" s="622">
        <f t="shared" si="98"/>
        <v>0</v>
      </c>
      <c r="F93" s="485">
        <f t="shared" si="98"/>
        <v>25564.375</v>
      </c>
      <c r="G93" s="664">
        <f t="shared" si="98"/>
        <v>25564.375</v>
      </c>
      <c r="H93" s="485">
        <f t="shared" si="98"/>
        <v>19164.375</v>
      </c>
      <c r="I93" s="485">
        <f t="shared" si="98"/>
        <v>19164.375</v>
      </c>
      <c r="J93" s="485">
        <f t="shared" si="98"/>
        <v>19414.375</v>
      </c>
      <c r="K93" s="485">
        <f t="shared" si="98"/>
        <v>6914.375</v>
      </c>
      <c r="L93" s="664">
        <f t="shared" si="89"/>
        <v>64657.5</v>
      </c>
      <c r="M93" s="485">
        <f t="shared" si="99"/>
        <v>3500</v>
      </c>
      <c r="N93" s="485">
        <f t="shared" si="99"/>
        <v>3500</v>
      </c>
      <c r="O93" s="485">
        <f t="shared" si="99"/>
        <v>3500</v>
      </c>
      <c r="P93" s="485">
        <f t="shared" si="99"/>
        <v>3500</v>
      </c>
      <c r="Q93" s="470">
        <f t="shared" si="90"/>
        <v>14000</v>
      </c>
      <c r="R93" s="485">
        <f t="shared" si="100"/>
        <v>3500</v>
      </c>
      <c r="S93" s="485">
        <f t="shared" si="100"/>
        <v>3500</v>
      </c>
      <c r="T93" s="485">
        <f t="shared" si="100"/>
        <v>3500</v>
      </c>
      <c r="U93" s="485">
        <f t="shared" si="100"/>
        <v>3500</v>
      </c>
      <c r="V93" s="470">
        <f t="shared" si="91"/>
        <v>14000</v>
      </c>
      <c r="W93" s="473">
        <f t="shared" si="101"/>
        <v>118221.875</v>
      </c>
      <c r="X93" s="469"/>
      <c r="Y93" s="530"/>
    </row>
    <row r="94" spans="2:34" s="534" customFormat="1" hidden="1" outlineLevel="2" x14ac:dyDescent="0.25">
      <c r="B94" s="547" t="s">
        <v>106</v>
      </c>
      <c r="C94" s="475"/>
      <c r="E94" s="622">
        <f t="shared" si="98"/>
        <v>0</v>
      </c>
      <c r="F94" s="485">
        <f t="shared" si="98"/>
        <v>0</v>
      </c>
      <c r="G94" s="631">
        <f t="shared" si="98"/>
        <v>0</v>
      </c>
      <c r="H94" s="485">
        <f t="shared" si="98"/>
        <v>0</v>
      </c>
      <c r="I94" s="485">
        <f t="shared" si="98"/>
        <v>0</v>
      </c>
      <c r="J94" s="485">
        <f t="shared" si="98"/>
        <v>0</v>
      </c>
      <c r="K94" s="485">
        <f t="shared" si="98"/>
        <v>0</v>
      </c>
      <c r="L94" s="631">
        <f>L54</f>
        <v>0</v>
      </c>
      <c r="M94" s="485">
        <f t="shared" si="99"/>
        <v>0</v>
      </c>
      <c r="N94" s="485">
        <f t="shared" si="99"/>
        <v>0</v>
      </c>
      <c r="O94" s="485">
        <f t="shared" si="99"/>
        <v>0</v>
      </c>
      <c r="P94" s="485">
        <f t="shared" si="99"/>
        <v>0</v>
      </c>
      <c r="Q94" s="485">
        <f>Q54</f>
        <v>0</v>
      </c>
      <c r="R94" s="485">
        <f t="shared" si="100"/>
        <v>0</v>
      </c>
      <c r="S94" s="485">
        <f t="shared" si="100"/>
        <v>0</v>
      </c>
      <c r="T94" s="485">
        <f t="shared" si="100"/>
        <v>0</v>
      </c>
      <c r="U94" s="485">
        <f t="shared" si="100"/>
        <v>0</v>
      </c>
      <c r="V94" s="485">
        <f>V54</f>
        <v>0</v>
      </c>
      <c r="W94" s="572">
        <f t="shared" si="101"/>
        <v>0</v>
      </c>
      <c r="X94" s="573"/>
      <c r="Y94" s="530"/>
    </row>
    <row r="95" spans="2:34" s="534" customFormat="1" hidden="1" outlineLevel="2" x14ac:dyDescent="0.25">
      <c r="B95" s="547" t="s">
        <v>220</v>
      </c>
      <c r="C95" s="475" t="s">
        <v>221</v>
      </c>
      <c r="E95" s="622">
        <f t="shared" si="98"/>
        <v>0</v>
      </c>
      <c r="F95" s="485">
        <f t="shared" si="98"/>
        <v>0</v>
      </c>
      <c r="G95" s="664">
        <f t="shared" si="98"/>
        <v>0</v>
      </c>
      <c r="H95" s="485">
        <f t="shared" si="98"/>
        <v>0</v>
      </c>
      <c r="I95" s="485">
        <f t="shared" si="98"/>
        <v>12000</v>
      </c>
      <c r="J95" s="485">
        <f t="shared" si="98"/>
        <v>0</v>
      </c>
      <c r="K95" s="485">
        <f t="shared" si="98"/>
        <v>0</v>
      </c>
      <c r="L95" s="664">
        <f t="shared" si="89"/>
        <v>12000</v>
      </c>
      <c r="M95" s="485">
        <f t="shared" si="99"/>
        <v>0</v>
      </c>
      <c r="N95" s="485">
        <f t="shared" si="99"/>
        <v>12000</v>
      </c>
      <c r="O95" s="485">
        <f t="shared" si="99"/>
        <v>0</v>
      </c>
      <c r="P95" s="485">
        <f t="shared" si="99"/>
        <v>0</v>
      </c>
      <c r="Q95" s="470">
        <f t="shared" si="90"/>
        <v>12000</v>
      </c>
      <c r="R95" s="485">
        <f t="shared" si="100"/>
        <v>0</v>
      </c>
      <c r="S95" s="485">
        <f t="shared" si="100"/>
        <v>12000</v>
      </c>
      <c r="T95" s="485">
        <f t="shared" si="100"/>
        <v>0</v>
      </c>
      <c r="U95" s="485">
        <f t="shared" si="100"/>
        <v>0</v>
      </c>
      <c r="V95" s="470">
        <f t="shared" si="91"/>
        <v>12000</v>
      </c>
      <c r="W95" s="473">
        <f t="shared" si="101"/>
        <v>36000</v>
      </c>
      <c r="X95" s="469"/>
      <c r="Y95" s="530" t="s">
        <v>234</v>
      </c>
    </row>
    <row r="96" spans="2:34" s="534" customFormat="1" hidden="1" outlineLevel="2" x14ac:dyDescent="0.25">
      <c r="B96" s="547" t="s">
        <v>222</v>
      </c>
      <c r="C96" s="475" t="s">
        <v>223</v>
      </c>
      <c r="E96" s="623">
        <f t="shared" ref="E96:K96" si="102">E57</f>
        <v>0</v>
      </c>
      <c r="F96" s="475">
        <f t="shared" si="102"/>
        <v>25000</v>
      </c>
      <c r="G96" s="664">
        <f t="shared" si="102"/>
        <v>25000</v>
      </c>
      <c r="H96" s="475">
        <f t="shared" si="102"/>
        <v>25000</v>
      </c>
      <c r="I96" s="475">
        <f t="shared" si="102"/>
        <v>25000</v>
      </c>
      <c r="J96" s="475">
        <f t="shared" si="102"/>
        <v>25000</v>
      </c>
      <c r="K96" s="475">
        <f t="shared" si="102"/>
        <v>25000</v>
      </c>
      <c r="L96" s="664">
        <f t="shared" si="89"/>
        <v>100000</v>
      </c>
      <c r="M96" s="475">
        <f>M57</f>
        <v>25000</v>
      </c>
      <c r="N96" s="475">
        <f>N57</f>
        <v>25000</v>
      </c>
      <c r="O96" s="475">
        <f>O57</f>
        <v>25000</v>
      </c>
      <c r="P96" s="475">
        <f>P57</f>
        <v>25000</v>
      </c>
      <c r="Q96" s="470">
        <f t="shared" si="90"/>
        <v>100000</v>
      </c>
      <c r="R96" s="475">
        <f>R57</f>
        <v>25000</v>
      </c>
      <c r="S96" s="475">
        <f>S57</f>
        <v>25000</v>
      </c>
      <c r="T96" s="475">
        <f>T57</f>
        <v>25000</v>
      </c>
      <c r="U96" s="475">
        <f>U57</f>
        <v>25000</v>
      </c>
      <c r="V96" s="470">
        <f t="shared" si="91"/>
        <v>100000</v>
      </c>
      <c r="W96" s="473">
        <f>W57</f>
        <v>325000</v>
      </c>
      <c r="X96" s="469"/>
      <c r="Y96" s="530"/>
    </row>
    <row r="97" spans="1:41" s="534" customFormat="1" hidden="1" outlineLevel="2" x14ac:dyDescent="0.25">
      <c r="B97" s="754" t="s">
        <v>224</v>
      </c>
      <c r="C97" s="475"/>
      <c r="E97" s="713">
        <f t="shared" ref="E97:K97" si="103">SUM(E84:E96)</f>
        <v>43750</v>
      </c>
      <c r="F97" s="552">
        <f t="shared" si="103"/>
        <v>1222927.1810065024</v>
      </c>
      <c r="G97" s="668">
        <f t="shared" si="103"/>
        <v>1266677.1810065024</v>
      </c>
      <c r="H97" s="552">
        <f t="shared" si="103"/>
        <v>973320.16225650231</v>
      </c>
      <c r="I97" s="552">
        <f t="shared" si="103"/>
        <v>902412.66225650231</v>
      </c>
      <c r="J97" s="552">
        <f t="shared" si="103"/>
        <v>960274.48933983571</v>
      </c>
      <c r="K97" s="552">
        <f t="shared" si="103"/>
        <v>1285138.6560065025</v>
      </c>
      <c r="L97" s="668">
        <f>SUM(H97:K97)</f>
        <v>4121145.9698593426</v>
      </c>
      <c r="M97" s="552">
        <f>SUM(M84:M96)</f>
        <v>939599.23180682748</v>
      </c>
      <c r="N97" s="552">
        <f>SUM(N84:N96)</f>
        <v>937432.5151401608</v>
      </c>
      <c r="O97" s="552">
        <f>SUM(O84:O96)</f>
        <v>925432.5151401608</v>
      </c>
      <c r="P97" s="552">
        <f>SUM(P84:P96)</f>
        <v>1300432.5151401609</v>
      </c>
      <c r="Q97" s="554">
        <f t="shared" si="90"/>
        <v>4102896.77722731</v>
      </c>
      <c r="R97" s="552">
        <f>SUM(R84:R96)</f>
        <v>959951.20310550218</v>
      </c>
      <c r="S97" s="552">
        <f>SUM(S84:S96)</f>
        <v>971951.14560550218</v>
      </c>
      <c r="T97" s="552">
        <f>SUM(T84:T96)</f>
        <v>959951.14560550218</v>
      </c>
      <c r="U97" s="552">
        <f>SUM(U84:U96)</f>
        <v>1702867.8122721689</v>
      </c>
      <c r="V97" s="554">
        <f t="shared" si="91"/>
        <v>4594721.3065886758</v>
      </c>
      <c r="W97" s="555">
        <f>SUM(W84:W96)</f>
        <v>14085441.23468183</v>
      </c>
      <c r="X97" s="574"/>
      <c r="Y97" s="530"/>
    </row>
    <row r="98" spans="1:41" s="508" customFormat="1" hidden="1" outlineLevel="1" collapsed="1" x14ac:dyDescent="0.25">
      <c r="B98" s="758" t="s">
        <v>249</v>
      </c>
      <c r="C98" s="575"/>
      <c r="D98" s="576"/>
      <c r="E98" s="719">
        <f>+E59+E72</f>
        <v>43750</v>
      </c>
      <c r="F98" s="576">
        <f t="shared" ref="F98:W98" si="104">+F59+F72</f>
        <v>1486930.4310065026</v>
      </c>
      <c r="G98" s="672">
        <f t="shared" si="104"/>
        <v>1530680.3310065025</v>
      </c>
      <c r="H98" s="576">
        <f t="shared" si="104"/>
        <v>973320.01225650241</v>
      </c>
      <c r="I98" s="576">
        <f t="shared" si="104"/>
        <v>902412.51225650241</v>
      </c>
      <c r="J98" s="576">
        <f t="shared" si="104"/>
        <v>960274.33933983569</v>
      </c>
      <c r="K98" s="576">
        <f t="shared" si="104"/>
        <v>1285138.5060065023</v>
      </c>
      <c r="L98" s="672">
        <f>+L59+L72</f>
        <v>4121144.5198593428</v>
      </c>
      <c r="M98" s="576">
        <f t="shared" si="104"/>
        <v>939599.03180682752</v>
      </c>
      <c r="N98" s="576">
        <f t="shared" si="104"/>
        <v>937432.36514016078</v>
      </c>
      <c r="O98" s="576">
        <f t="shared" si="104"/>
        <v>925432.36514016078</v>
      </c>
      <c r="P98" s="576">
        <f t="shared" si="104"/>
        <v>925432.36514016078</v>
      </c>
      <c r="Q98" s="576">
        <f t="shared" si="104"/>
        <v>3727895.2772273095</v>
      </c>
      <c r="R98" s="576">
        <f t="shared" si="104"/>
        <v>959951.00310550211</v>
      </c>
      <c r="S98" s="576">
        <f t="shared" si="104"/>
        <v>971950.99560550216</v>
      </c>
      <c r="T98" s="576">
        <f t="shared" si="104"/>
        <v>959950.99560550216</v>
      </c>
      <c r="U98" s="576">
        <f t="shared" si="104"/>
        <v>952867.66227216879</v>
      </c>
      <c r="V98" s="576">
        <f t="shared" si="104"/>
        <v>3844719.8065886754</v>
      </c>
      <c r="W98" s="576">
        <f t="shared" si="104"/>
        <v>12849439.934681831</v>
      </c>
      <c r="X98" s="469"/>
      <c r="Y98" s="545"/>
    </row>
    <row r="99" spans="1:41" s="577" customFormat="1" hidden="1" outlineLevel="1" collapsed="1" x14ac:dyDescent="0.25">
      <c r="B99" s="756"/>
      <c r="C99" s="525"/>
      <c r="D99" s="525"/>
      <c r="E99" s="720"/>
      <c r="F99" s="559"/>
      <c r="G99" s="670"/>
      <c r="H99" s="559"/>
      <c r="I99" s="559"/>
      <c r="J99" s="559"/>
      <c r="K99" s="559"/>
      <c r="L99" s="670"/>
      <c r="M99" s="559"/>
      <c r="N99" s="559"/>
      <c r="O99" s="559"/>
      <c r="P99" s="559"/>
      <c r="Q99" s="559"/>
      <c r="R99" s="559"/>
      <c r="S99" s="559"/>
      <c r="T99" s="559"/>
      <c r="U99" s="559"/>
      <c r="V99" s="559"/>
      <c r="W99" s="559"/>
      <c r="X99" s="469"/>
      <c r="Y99" s="545"/>
    </row>
    <row r="100" spans="1:41" s="508" customFormat="1" ht="13.5" hidden="1" collapsed="1" thickBot="1" x14ac:dyDescent="0.3">
      <c r="B100" s="759" t="s">
        <v>315</v>
      </c>
      <c r="C100" s="578"/>
      <c r="D100" s="578"/>
      <c r="E100" s="721">
        <f t="shared" ref="E100:W100" si="105">(E36+E38+E40+E45+E46+E50+E57+E70+E71+E54+E55+E53+E63+E65+E67+E41+E68)</f>
        <v>0</v>
      </c>
      <c r="F100" s="579">
        <f t="shared" si="105"/>
        <v>662926.78100650234</v>
      </c>
      <c r="G100" s="673">
        <f t="shared" si="105"/>
        <v>662926.78100650234</v>
      </c>
      <c r="H100" s="579">
        <f t="shared" si="105"/>
        <v>973319.76225650241</v>
      </c>
      <c r="I100" s="579">
        <f t="shared" si="105"/>
        <v>902412.26225650241</v>
      </c>
      <c r="J100" s="579">
        <f t="shared" si="105"/>
        <v>960274.08933983569</v>
      </c>
      <c r="K100" s="579">
        <f t="shared" si="105"/>
        <v>910138.25600650231</v>
      </c>
      <c r="L100" s="679">
        <f t="shared" si="105"/>
        <v>3746144.3698593429</v>
      </c>
      <c r="M100" s="580">
        <f t="shared" si="105"/>
        <v>939598.78180682741</v>
      </c>
      <c r="N100" s="580">
        <f t="shared" si="105"/>
        <v>937432.11514016078</v>
      </c>
      <c r="O100" s="580">
        <f t="shared" si="105"/>
        <v>925432.11514016078</v>
      </c>
      <c r="P100" s="580">
        <f t="shared" si="105"/>
        <v>925432.11514016078</v>
      </c>
      <c r="Q100" s="580">
        <f t="shared" si="105"/>
        <v>3727895.1272273096</v>
      </c>
      <c r="R100" s="580">
        <f t="shared" si="105"/>
        <v>959950.75310550211</v>
      </c>
      <c r="S100" s="580">
        <f t="shared" si="105"/>
        <v>971950.74560550228</v>
      </c>
      <c r="T100" s="580">
        <f t="shared" si="105"/>
        <v>959950.74560550228</v>
      </c>
      <c r="U100" s="580">
        <f t="shared" si="105"/>
        <v>952867.41227216891</v>
      </c>
      <c r="V100" s="580">
        <f t="shared" si="105"/>
        <v>3844719.656588675</v>
      </c>
      <c r="W100" s="581">
        <f t="shared" si="105"/>
        <v>11981685.934681833</v>
      </c>
      <c r="X100" s="582"/>
      <c r="Y100" s="545"/>
    </row>
    <row r="101" spans="1:41" s="508" customFormat="1" ht="13.5" outlineLevel="1" thickBot="1" x14ac:dyDescent="0.3">
      <c r="A101" s="509"/>
      <c r="B101" s="547"/>
      <c r="C101" s="509"/>
      <c r="D101" s="509"/>
      <c r="E101" s="542"/>
      <c r="F101" s="509"/>
      <c r="G101" s="674"/>
      <c r="H101" s="509"/>
      <c r="I101" s="509"/>
      <c r="J101" s="509"/>
      <c r="K101" s="509"/>
      <c r="L101" s="674"/>
      <c r="M101" s="509"/>
      <c r="N101" s="509"/>
      <c r="O101" s="509"/>
      <c r="P101" s="509"/>
      <c r="Q101" s="509"/>
      <c r="R101" s="509"/>
      <c r="S101" s="509"/>
      <c r="T101" s="509"/>
      <c r="U101" s="509"/>
      <c r="V101" s="509"/>
      <c r="W101" s="509">
        <f>G101+L101+Q101+V101</f>
        <v>0</v>
      </c>
      <c r="X101" s="525"/>
      <c r="Y101" s="545"/>
    </row>
    <row r="102" spans="1:41" s="607" customFormat="1" x14ac:dyDescent="0.25">
      <c r="B102" s="760" t="s">
        <v>345</v>
      </c>
      <c r="C102" s="610"/>
      <c r="E102" s="637"/>
      <c r="F102" s="610"/>
      <c r="G102" s="675"/>
      <c r="H102" s="610"/>
      <c r="I102" s="610"/>
      <c r="J102" s="610"/>
      <c r="K102" s="610"/>
      <c r="L102" s="675"/>
      <c r="M102" s="615"/>
      <c r="N102" s="615"/>
      <c r="O102" s="615"/>
      <c r="P102" s="615"/>
      <c r="Q102" s="633"/>
      <c r="R102" s="615"/>
      <c r="S102" s="615"/>
      <c r="T102" s="615"/>
      <c r="U102" s="615"/>
      <c r="V102" s="634"/>
      <c r="W102" s="635"/>
      <c r="X102" s="612"/>
      <c r="Y102" s="636"/>
    </row>
    <row r="103" spans="1:41" s="607" customFormat="1" hidden="1" outlineLevel="1" x14ac:dyDescent="0.25">
      <c r="B103" s="705" t="s">
        <v>328</v>
      </c>
      <c r="C103" s="610"/>
      <c r="E103" s="637">
        <f>E87</f>
        <v>0</v>
      </c>
      <c r="F103" s="610">
        <f>F87</f>
        <v>0</v>
      </c>
      <c r="G103" s="675"/>
      <c r="H103" s="610">
        <f>H87</f>
        <v>0</v>
      </c>
      <c r="I103" s="610">
        <f>I87</f>
        <v>0</v>
      </c>
      <c r="J103" s="610">
        <f>J87</f>
        <v>0</v>
      </c>
      <c r="K103" s="610">
        <f>K87</f>
        <v>375000</v>
      </c>
      <c r="L103" s="675">
        <f>L87</f>
        <v>375000</v>
      </c>
      <c r="M103" s="610"/>
      <c r="N103" s="610"/>
      <c r="O103" s="610"/>
      <c r="P103" s="610"/>
      <c r="Q103" s="637"/>
      <c r="R103" s="610"/>
      <c r="S103" s="610"/>
      <c r="T103" s="610"/>
      <c r="U103" s="610"/>
      <c r="V103" s="638"/>
      <c r="W103" s="639"/>
      <c r="X103" s="612"/>
      <c r="Y103" s="636"/>
    </row>
    <row r="104" spans="1:41" s="607" customFormat="1" ht="14.45" hidden="1" customHeight="1" outlineLevel="2" x14ac:dyDescent="0.25">
      <c r="B104" s="705" t="s">
        <v>217</v>
      </c>
      <c r="C104" s="610" t="s">
        <v>76</v>
      </c>
      <c r="E104" s="637"/>
      <c r="F104" s="610">
        <f>F52</f>
        <v>425000</v>
      </c>
      <c r="G104" s="675">
        <f>SUM(E104:F104)</f>
        <v>425000</v>
      </c>
      <c r="H104" s="610"/>
      <c r="I104" s="610"/>
      <c r="J104" s="610"/>
      <c r="K104" s="610"/>
      <c r="L104" s="675">
        <f>SUM(H104:K104)</f>
        <v>0</v>
      </c>
      <c r="M104" s="610"/>
      <c r="N104" s="610"/>
      <c r="O104" s="610"/>
      <c r="P104" s="610"/>
      <c r="Q104" s="640">
        <f>SUM(M104:P104)</f>
        <v>0</v>
      </c>
      <c r="R104" s="610"/>
      <c r="S104" s="610"/>
      <c r="T104" s="610"/>
      <c r="U104" s="610"/>
      <c r="V104" s="638">
        <f>SUM(R104:U104)</f>
        <v>0</v>
      </c>
      <c r="W104" s="639">
        <f>G104+L104+Q104+V104</f>
        <v>425000</v>
      </c>
      <c r="X104" s="612"/>
      <c r="Y104" s="636"/>
    </row>
    <row r="105" spans="1:41" s="607" customFormat="1" ht="14.45" hidden="1" customHeight="1" outlineLevel="2" x14ac:dyDescent="0.25">
      <c r="B105" s="761" t="s">
        <v>329</v>
      </c>
      <c r="C105" s="616" t="s">
        <v>242</v>
      </c>
      <c r="D105" s="632"/>
      <c r="E105" s="722">
        <f>E48</f>
        <v>43750</v>
      </c>
      <c r="F105" s="641">
        <v>0</v>
      </c>
      <c r="G105" s="676">
        <f>SUM(E105:F105)</f>
        <v>43750</v>
      </c>
      <c r="H105" s="616"/>
      <c r="I105" s="616"/>
      <c r="J105" s="616"/>
      <c r="K105" s="616"/>
      <c r="L105" s="676"/>
      <c r="M105" s="610"/>
      <c r="N105" s="610"/>
      <c r="O105" s="610"/>
      <c r="P105" s="610"/>
      <c r="Q105" s="637"/>
      <c r="R105" s="610"/>
      <c r="S105" s="610"/>
      <c r="T105" s="610"/>
      <c r="U105" s="610"/>
      <c r="V105" s="638"/>
      <c r="W105" s="639">
        <f>G105+L105+Q105+V105</f>
        <v>43750</v>
      </c>
      <c r="X105" s="612"/>
      <c r="Y105" s="642"/>
      <c r="Z105" s="642" t="s">
        <v>316</v>
      </c>
    </row>
    <row r="106" spans="1:41" s="607" customFormat="1" ht="18.95" customHeight="1" collapsed="1" x14ac:dyDescent="0.25">
      <c r="B106" s="705" t="s">
        <v>347</v>
      </c>
      <c r="C106" s="610"/>
      <c r="D106" s="614"/>
      <c r="E106" s="637">
        <f t="shared" ref="E106:K106" si="106">SUM(E103:E105)</f>
        <v>43750</v>
      </c>
      <c r="F106" s="610">
        <f t="shared" si="106"/>
        <v>425000</v>
      </c>
      <c r="G106" s="688">
        <f t="shared" si="106"/>
        <v>468750</v>
      </c>
      <c r="H106" s="727">
        <f t="shared" si="106"/>
        <v>0</v>
      </c>
      <c r="I106" s="689">
        <f t="shared" si="106"/>
        <v>0</v>
      </c>
      <c r="J106" s="689">
        <f t="shared" si="106"/>
        <v>0</v>
      </c>
      <c r="K106" s="689">
        <f t="shared" si="106"/>
        <v>375000</v>
      </c>
      <c r="L106" s="688">
        <f>SUM(H106:K106)</f>
        <v>375000</v>
      </c>
      <c r="M106" s="611">
        <f t="shared" ref="M106:W106" si="107">SUM(M104:M105)</f>
        <v>0</v>
      </c>
      <c r="N106" s="611">
        <f t="shared" si="107"/>
        <v>0</v>
      </c>
      <c r="O106" s="611">
        <f t="shared" si="107"/>
        <v>0</v>
      </c>
      <c r="P106" s="611">
        <f t="shared" si="107"/>
        <v>0</v>
      </c>
      <c r="Q106" s="643">
        <f t="shared" si="107"/>
        <v>0</v>
      </c>
      <c r="R106" s="611">
        <f t="shared" si="107"/>
        <v>0</v>
      </c>
      <c r="S106" s="611">
        <f t="shared" si="107"/>
        <v>0</v>
      </c>
      <c r="T106" s="611">
        <f t="shared" si="107"/>
        <v>0</v>
      </c>
      <c r="U106" s="611">
        <f t="shared" si="107"/>
        <v>0</v>
      </c>
      <c r="V106" s="644">
        <f t="shared" si="107"/>
        <v>0</v>
      </c>
      <c r="W106" s="645">
        <f t="shared" si="107"/>
        <v>468750</v>
      </c>
      <c r="X106" s="612"/>
      <c r="Y106" s="642"/>
      <c r="Z106" s="642" t="s">
        <v>317</v>
      </c>
    </row>
    <row r="107" spans="1:41" s="607" customFormat="1" ht="14.45" hidden="1" customHeight="1" outlineLevel="2" x14ac:dyDescent="0.25">
      <c r="B107" s="762" t="s">
        <v>197</v>
      </c>
      <c r="C107" s="610" t="s">
        <v>195</v>
      </c>
      <c r="D107" s="614"/>
      <c r="E107" s="637"/>
      <c r="F107" s="609">
        <f>F30</f>
        <v>100000</v>
      </c>
      <c r="G107" s="688">
        <f t="shared" ref="G107" si="108">SUM(E107:F107)</f>
        <v>100000</v>
      </c>
      <c r="H107" s="689"/>
      <c r="I107" s="689"/>
      <c r="J107" s="689"/>
      <c r="K107" s="689"/>
      <c r="L107" s="688"/>
      <c r="M107" s="610"/>
      <c r="N107" s="610"/>
      <c r="O107" s="610"/>
      <c r="P107" s="610"/>
      <c r="Q107" s="637"/>
      <c r="R107" s="610"/>
      <c r="S107" s="610"/>
      <c r="T107" s="610"/>
      <c r="U107" s="610"/>
      <c r="V107" s="638"/>
      <c r="W107" s="639">
        <f>G107+L107+Q107+V107</f>
        <v>100000</v>
      </c>
      <c r="X107" s="612"/>
      <c r="Y107" s="646" t="s">
        <v>268</v>
      </c>
      <c r="Z107" s="646"/>
      <c r="AA107" s="646"/>
      <c r="AB107" s="646"/>
      <c r="AC107" s="646"/>
      <c r="AD107" s="646"/>
      <c r="AE107" s="646"/>
      <c r="AF107" s="646"/>
      <c r="AG107" s="646"/>
      <c r="AH107" s="646"/>
      <c r="AI107" s="646"/>
      <c r="AJ107" s="646"/>
      <c r="AK107" s="646"/>
      <c r="AL107" s="646"/>
      <c r="AM107" s="646"/>
      <c r="AN107" s="646"/>
      <c r="AO107" s="646"/>
    </row>
    <row r="108" spans="1:41" s="607" customFormat="1" hidden="1" outlineLevel="2" x14ac:dyDescent="0.25">
      <c r="B108" s="762" t="s">
        <v>270</v>
      </c>
      <c r="C108" s="610"/>
      <c r="D108" s="614"/>
      <c r="E108" s="647">
        <f>E31</f>
        <v>0</v>
      </c>
      <c r="F108" s="609">
        <f>F31</f>
        <v>164003.40000000002</v>
      </c>
      <c r="G108" s="690">
        <f t="shared" ref="G108:W108" si="109">G31</f>
        <v>164003.40000000002</v>
      </c>
      <c r="H108" s="691">
        <f t="shared" si="109"/>
        <v>0</v>
      </c>
      <c r="I108" s="691">
        <f t="shared" si="109"/>
        <v>0</v>
      </c>
      <c r="J108" s="691">
        <f t="shared" si="109"/>
        <v>0</v>
      </c>
      <c r="K108" s="691">
        <f t="shared" si="109"/>
        <v>0</v>
      </c>
      <c r="L108" s="690">
        <f t="shared" si="109"/>
        <v>0</v>
      </c>
      <c r="M108" s="609">
        <f t="shared" si="109"/>
        <v>0</v>
      </c>
      <c r="N108" s="609">
        <f t="shared" si="109"/>
        <v>0</v>
      </c>
      <c r="O108" s="609">
        <f t="shared" si="109"/>
        <v>0</v>
      </c>
      <c r="P108" s="609">
        <f t="shared" si="109"/>
        <v>0</v>
      </c>
      <c r="Q108" s="647">
        <f t="shared" si="109"/>
        <v>0</v>
      </c>
      <c r="R108" s="609">
        <f t="shared" si="109"/>
        <v>0</v>
      </c>
      <c r="S108" s="609">
        <f t="shared" si="109"/>
        <v>0</v>
      </c>
      <c r="T108" s="609">
        <f t="shared" si="109"/>
        <v>0</v>
      </c>
      <c r="U108" s="609">
        <f t="shared" si="109"/>
        <v>0</v>
      </c>
      <c r="V108" s="648">
        <f t="shared" si="109"/>
        <v>0</v>
      </c>
      <c r="W108" s="649">
        <f t="shared" si="109"/>
        <v>164003.40000000002</v>
      </c>
      <c r="X108" s="612"/>
      <c r="Y108" s="636"/>
    </row>
    <row r="109" spans="1:41" s="607" customFormat="1" hidden="1" outlineLevel="2" x14ac:dyDescent="0.25">
      <c r="B109" s="762" t="s">
        <v>214</v>
      </c>
      <c r="C109" s="610" t="s">
        <v>245</v>
      </c>
      <c r="D109" s="614"/>
      <c r="E109" s="637">
        <f t="shared" ref="E109:V109" si="110">E49</f>
        <v>0</v>
      </c>
      <c r="F109" s="610">
        <f t="shared" si="110"/>
        <v>90000</v>
      </c>
      <c r="G109" s="688">
        <f t="shared" si="110"/>
        <v>90000</v>
      </c>
      <c r="H109" s="689">
        <f t="shared" si="110"/>
        <v>0</v>
      </c>
      <c r="I109" s="689">
        <f t="shared" si="110"/>
        <v>0</v>
      </c>
      <c r="J109" s="689">
        <f t="shared" si="110"/>
        <v>0</v>
      </c>
      <c r="K109" s="689">
        <f t="shared" si="110"/>
        <v>0</v>
      </c>
      <c r="L109" s="688">
        <f t="shared" si="110"/>
        <v>0</v>
      </c>
      <c r="M109" s="610">
        <f t="shared" si="110"/>
        <v>0</v>
      </c>
      <c r="N109" s="610">
        <f t="shared" si="110"/>
        <v>0</v>
      </c>
      <c r="O109" s="610">
        <f t="shared" si="110"/>
        <v>0</v>
      </c>
      <c r="P109" s="610">
        <f t="shared" si="110"/>
        <v>0</v>
      </c>
      <c r="Q109" s="637">
        <f t="shared" si="110"/>
        <v>0</v>
      </c>
      <c r="R109" s="610">
        <f t="shared" si="110"/>
        <v>0</v>
      </c>
      <c r="S109" s="610">
        <f t="shared" si="110"/>
        <v>0</v>
      </c>
      <c r="T109" s="610">
        <f t="shared" si="110"/>
        <v>0</v>
      </c>
      <c r="U109" s="610">
        <f t="shared" si="110"/>
        <v>0</v>
      </c>
      <c r="V109" s="638">
        <f t="shared" si="110"/>
        <v>0</v>
      </c>
      <c r="W109" s="639">
        <f>G109+L109+Q109+V109</f>
        <v>90000</v>
      </c>
      <c r="X109" s="612"/>
      <c r="AA109" s="650"/>
    </row>
    <row r="110" spans="1:41" s="607" customFormat="1" ht="15" hidden="1" outlineLevel="2" x14ac:dyDescent="0.25">
      <c r="B110" s="762" t="s">
        <v>232</v>
      </c>
      <c r="C110" s="610" t="s">
        <v>124</v>
      </c>
      <c r="D110" s="614"/>
      <c r="E110" s="723"/>
      <c r="F110" s="617">
        <f>F51</f>
        <v>45000</v>
      </c>
      <c r="G110" s="692">
        <f>SUM(E110:F110)</f>
        <v>45000</v>
      </c>
      <c r="H110" s="693"/>
      <c r="I110" s="693"/>
      <c r="J110" s="693"/>
      <c r="K110" s="693"/>
      <c r="L110" s="692">
        <f t="shared" ref="L110" si="111">SUM(H110:K110)</f>
        <v>0</v>
      </c>
      <c r="M110" s="610"/>
      <c r="N110" s="610"/>
      <c r="O110" s="610"/>
      <c r="P110" s="610"/>
      <c r="Q110" s="637">
        <f t="shared" ref="Q110" si="112">SUM(M110:P110)</f>
        <v>0</v>
      </c>
      <c r="R110" s="610"/>
      <c r="S110" s="610"/>
      <c r="T110" s="610"/>
      <c r="U110" s="610"/>
      <c r="V110" s="638">
        <f t="shared" ref="V110" si="113">SUM(R110:U110)</f>
        <v>0</v>
      </c>
      <c r="W110" s="639">
        <f>G110+L110+Q110+V110</f>
        <v>45000</v>
      </c>
      <c r="X110" s="612"/>
      <c r="Y110" s="642"/>
    </row>
    <row r="111" spans="1:41" s="607" customFormat="1" ht="18.95" customHeight="1" collapsed="1" x14ac:dyDescent="0.25">
      <c r="B111" s="705" t="s">
        <v>330</v>
      </c>
      <c r="C111" s="610"/>
      <c r="D111" s="614"/>
      <c r="E111" s="637">
        <f t="shared" ref="E111:V111" si="114">SUM(E107:E110)</f>
        <v>0</v>
      </c>
      <c r="F111" s="610">
        <f t="shared" si="114"/>
        <v>399003.4</v>
      </c>
      <c r="G111" s="692">
        <f t="shared" si="114"/>
        <v>399003.4</v>
      </c>
      <c r="H111" s="693">
        <f t="shared" si="114"/>
        <v>0</v>
      </c>
      <c r="I111" s="693">
        <f t="shared" si="114"/>
        <v>0</v>
      </c>
      <c r="J111" s="693">
        <f t="shared" si="114"/>
        <v>0</v>
      </c>
      <c r="K111" s="693">
        <f t="shared" si="114"/>
        <v>0</v>
      </c>
      <c r="L111" s="692">
        <f>SUM(H111:K111)</f>
        <v>0</v>
      </c>
      <c r="M111" s="611">
        <f t="shared" si="114"/>
        <v>0</v>
      </c>
      <c r="N111" s="611">
        <f t="shared" si="114"/>
        <v>0</v>
      </c>
      <c r="O111" s="611">
        <f t="shared" si="114"/>
        <v>0</v>
      </c>
      <c r="P111" s="611">
        <f t="shared" si="114"/>
        <v>0</v>
      </c>
      <c r="Q111" s="643">
        <f t="shared" si="114"/>
        <v>0</v>
      </c>
      <c r="R111" s="611">
        <f t="shared" si="114"/>
        <v>0</v>
      </c>
      <c r="S111" s="611">
        <f t="shared" si="114"/>
        <v>0</v>
      </c>
      <c r="T111" s="611">
        <f t="shared" si="114"/>
        <v>0</v>
      </c>
      <c r="U111" s="611">
        <f t="shared" si="114"/>
        <v>0</v>
      </c>
      <c r="V111" s="644">
        <f t="shared" si="114"/>
        <v>0</v>
      </c>
      <c r="W111" s="645">
        <f t="shared" ref="W111" si="115">SUM(W107:W110)</f>
        <v>399003.4</v>
      </c>
      <c r="X111" s="612"/>
      <c r="Y111" s="651"/>
    </row>
    <row r="112" spans="1:41" s="618" customFormat="1" ht="17.45" customHeight="1" thickBot="1" x14ac:dyDescent="0.3">
      <c r="B112" s="760" t="s">
        <v>335</v>
      </c>
      <c r="C112" s="614"/>
      <c r="D112" s="614"/>
      <c r="E112" s="724">
        <f>E111+E106+E103</f>
        <v>43750</v>
      </c>
      <c r="F112" s="608">
        <f t="shared" ref="F112" si="116">F111+F106+F103</f>
        <v>824003.4</v>
      </c>
      <c r="G112" s="694">
        <f>G106+G111</f>
        <v>867753.4</v>
      </c>
      <c r="H112" s="695">
        <f>H106+H111</f>
        <v>0</v>
      </c>
      <c r="I112" s="695">
        <f>I106+I111</f>
        <v>0</v>
      </c>
      <c r="J112" s="695">
        <f>J106+J111</f>
        <v>0</v>
      </c>
      <c r="K112" s="695">
        <f>K106+K111</f>
        <v>375000</v>
      </c>
      <c r="L112" s="694">
        <f>SUM(H112:K112)</f>
        <v>375000</v>
      </c>
      <c r="M112" s="613">
        <f t="shared" ref="M112:W112" si="117">M111+M106</f>
        <v>0</v>
      </c>
      <c r="N112" s="613">
        <f t="shared" si="117"/>
        <v>0</v>
      </c>
      <c r="O112" s="613">
        <f t="shared" si="117"/>
        <v>0</v>
      </c>
      <c r="P112" s="613">
        <f t="shared" si="117"/>
        <v>0</v>
      </c>
      <c r="Q112" s="652">
        <f t="shared" si="117"/>
        <v>0</v>
      </c>
      <c r="R112" s="613">
        <f t="shared" si="117"/>
        <v>0</v>
      </c>
      <c r="S112" s="613">
        <f t="shared" si="117"/>
        <v>0</v>
      </c>
      <c r="T112" s="613">
        <f t="shared" si="117"/>
        <v>0</v>
      </c>
      <c r="U112" s="613">
        <f t="shared" si="117"/>
        <v>0</v>
      </c>
      <c r="V112" s="653">
        <f t="shared" si="117"/>
        <v>0</v>
      </c>
      <c r="W112" s="654">
        <f t="shared" si="117"/>
        <v>867753.4</v>
      </c>
      <c r="X112" s="655"/>
      <c r="Y112" s="651"/>
    </row>
    <row r="113" spans="1:34" s="508" customFormat="1" hidden="1" outlineLevel="1" x14ac:dyDescent="0.25">
      <c r="A113" s="509"/>
      <c r="B113" s="756" t="s">
        <v>225</v>
      </c>
      <c r="C113" s="509"/>
      <c r="D113" s="509"/>
      <c r="E113" s="725">
        <f t="shared" ref="E113:W113" si="118">E112-E52-E51-E48-E49-E30-E31</f>
        <v>0</v>
      </c>
      <c r="F113" s="584">
        <f t="shared" si="118"/>
        <v>0</v>
      </c>
      <c r="G113" s="677">
        <f t="shared" si="118"/>
        <v>0</v>
      </c>
      <c r="H113" s="584">
        <f t="shared" si="118"/>
        <v>0</v>
      </c>
      <c r="I113" s="584">
        <f t="shared" si="118"/>
        <v>0</v>
      </c>
      <c r="J113" s="584">
        <f t="shared" si="118"/>
        <v>0</v>
      </c>
      <c r="K113" s="584">
        <f t="shared" si="118"/>
        <v>375000</v>
      </c>
      <c r="L113" s="677">
        <f t="shared" si="118"/>
        <v>375000</v>
      </c>
      <c r="M113" s="584">
        <f t="shared" si="118"/>
        <v>0</v>
      </c>
      <c r="N113" s="584">
        <f t="shared" si="118"/>
        <v>0</v>
      </c>
      <c r="O113" s="584">
        <f t="shared" si="118"/>
        <v>0</v>
      </c>
      <c r="P113" s="584">
        <f t="shared" si="118"/>
        <v>0</v>
      </c>
      <c r="Q113" s="584">
        <f t="shared" si="118"/>
        <v>0</v>
      </c>
      <c r="R113" s="584">
        <f t="shared" si="118"/>
        <v>0</v>
      </c>
      <c r="S113" s="584">
        <f t="shared" si="118"/>
        <v>0</v>
      </c>
      <c r="T113" s="584">
        <f t="shared" si="118"/>
        <v>0</v>
      </c>
      <c r="U113" s="584">
        <f t="shared" si="118"/>
        <v>0</v>
      </c>
      <c r="V113" s="584">
        <f t="shared" si="118"/>
        <v>0</v>
      </c>
      <c r="W113" s="584">
        <f t="shared" si="118"/>
        <v>0</v>
      </c>
      <c r="X113" s="584"/>
      <c r="Y113" s="545"/>
    </row>
    <row r="114" spans="1:34" s="508" customFormat="1" hidden="1" outlineLevel="1" x14ac:dyDescent="0.25">
      <c r="B114" s="756" t="s">
        <v>225</v>
      </c>
      <c r="C114" s="509"/>
      <c r="D114" s="509"/>
      <c r="E114" s="620">
        <f t="shared" ref="E114:W114" si="119">E98-E112-E100</f>
        <v>0</v>
      </c>
      <c r="F114" s="529">
        <f t="shared" si="119"/>
        <v>0.25000000023283064</v>
      </c>
      <c r="G114" s="629">
        <f t="shared" si="119"/>
        <v>0.15000000013969839</v>
      </c>
      <c r="H114" s="529">
        <f t="shared" si="119"/>
        <v>0.25</v>
      </c>
      <c r="I114" s="529">
        <f t="shared" si="119"/>
        <v>0.25</v>
      </c>
      <c r="J114" s="529">
        <f t="shared" si="119"/>
        <v>0.25</v>
      </c>
      <c r="K114" s="529">
        <f t="shared" si="119"/>
        <v>0.25</v>
      </c>
      <c r="L114" s="629">
        <f t="shared" si="119"/>
        <v>0.14999999990686774</v>
      </c>
      <c r="M114" s="585">
        <f t="shared" si="119"/>
        <v>0.25000000011641532</v>
      </c>
      <c r="N114" s="585">
        <f t="shared" si="119"/>
        <v>0.25</v>
      </c>
      <c r="O114" s="585">
        <f t="shared" si="119"/>
        <v>0.25</v>
      </c>
      <c r="P114" s="585">
        <f t="shared" si="119"/>
        <v>0.25</v>
      </c>
      <c r="Q114" s="585">
        <f t="shared" si="119"/>
        <v>0.14999999990686774</v>
      </c>
      <c r="R114" s="585">
        <f t="shared" si="119"/>
        <v>0.25</v>
      </c>
      <c r="S114" s="585">
        <f t="shared" si="119"/>
        <v>0.24999999988358468</v>
      </c>
      <c r="T114" s="585">
        <f t="shared" si="119"/>
        <v>0.24999999988358468</v>
      </c>
      <c r="U114" s="585">
        <f t="shared" si="119"/>
        <v>0.24999999988358468</v>
      </c>
      <c r="V114" s="585">
        <f t="shared" si="119"/>
        <v>0.15000000037252903</v>
      </c>
      <c r="W114" s="585">
        <f t="shared" si="119"/>
        <v>0.59999999776482582</v>
      </c>
      <c r="X114" s="582"/>
      <c r="Y114" s="545"/>
    </row>
    <row r="115" spans="1:34" s="508" customFormat="1" ht="11.1" customHeight="1" collapsed="1" x14ac:dyDescent="0.25">
      <c r="B115" s="547"/>
      <c r="C115" s="509"/>
      <c r="D115" s="509"/>
      <c r="E115" s="542"/>
      <c r="F115" s="509"/>
      <c r="G115" s="674"/>
      <c r="H115" s="509"/>
      <c r="I115" s="509"/>
      <c r="J115" s="509"/>
      <c r="K115" s="509"/>
      <c r="L115" s="674"/>
      <c r="Q115" s="509"/>
      <c r="V115" s="509"/>
      <c r="W115" s="509"/>
      <c r="X115" s="525"/>
      <c r="Y115" s="545"/>
    </row>
    <row r="116" spans="1:34" s="508" customFormat="1" ht="18.600000000000001" customHeight="1" thickBot="1" x14ac:dyDescent="0.3">
      <c r="B116" s="763" t="s">
        <v>346</v>
      </c>
      <c r="C116" s="706"/>
      <c r="D116" s="706"/>
      <c r="E116" s="707">
        <f t="shared" ref="E116:L116" si="120">E112+E27</f>
        <v>43750</v>
      </c>
      <c r="F116" s="707">
        <f t="shared" si="120"/>
        <v>1486930.4310065026</v>
      </c>
      <c r="G116" s="708">
        <f t="shared" si="120"/>
        <v>1530680.3310065025</v>
      </c>
      <c r="H116" s="709">
        <f t="shared" si="120"/>
        <v>973320.01225650241</v>
      </c>
      <c r="I116" s="709">
        <f t="shared" si="120"/>
        <v>902412.51225650241</v>
      </c>
      <c r="J116" s="709">
        <f t="shared" si="120"/>
        <v>960274.33933983569</v>
      </c>
      <c r="K116" s="709">
        <f t="shared" si="120"/>
        <v>1285138.7810065025</v>
      </c>
      <c r="L116" s="708">
        <f t="shared" si="120"/>
        <v>4121144.3448593426</v>
      </c>
      <c r="M116" s="529"/>
      <c r="N116" s="529"/>
      <c r="O116" s="529"/>
      <c r="P116" s="529"/>
      <c r="Q116" s="529"/>
      <c r="R116" s="529"/>
      <c r="S116" s="529"/>
      <c r="T116" s="529"/>
      <c r="U116" s="529"/>
      <c r="V116" s="529"/>
      <c r="W116" s="529">
        <f>W98-W112-W27</f>
        <v>0</v>
      </c>
      <c r="X116" s="525"/>
      <c r="Y116" s="545"/>
    </row>
    <row r="117" spans="1:34" s="508" customFormat="1" hidden="1" outlineLevel="1" x14ac:dyDescent="0.25">
      <c r="B117" s="542"/>
      <c r="C117" s="509"/>
      <c r="D117" s="509"/>
      <c r="E117" s="529"/>
      <c r="F117" s="529"/>
      <c r="G117" s="529"/>
      <c r="H117" s="529"/>
      <c r="I117" s="529"/>
      <c r="J117" s="529"/>
      <c r="K117" s="529"/>
      <c r="L117" s="589"/>
      <c r="M117" s="587"/>
      <c r="N117" s="587"/>
      <c r="O117" s="587"/>
      <c r="P117" s="587"/>
      <c r="Q117" s="587"/>
      <c r="R117" s="587"/>
      <c r="S117" s="587"/>
      <c r="T117" s="587"/>
      <c r="U117" s="587"/>
      <c r="V117" s="587"/>
      <c r="W117" s="588"/>
      <c r="X117" s="577"/>
      <c r="Y117" s="545"/>
    </row>
    <row r="118" spans="1:34" s="508" customFormat="1" hidden="1" outlineLevel="1" x14ac:dyDescent="0.25">
      <c r="B118" s="542" t="s">
        <v>240</v>
      </c>
      <c r="C118" s="509"/>
      <c r="D118" s="509"/>
      <c r="E118" s="509"/>
      <c r="F118" s="529">
        <f>[1]Sheet1!$N$37/4</f>
        <v>14149.875</v>
      </c>
      <c r="G118" s="529">
        <f>F118</f>
        <v>14149.875</v>
      </c>
      <c r="H118" s="529">
        <f>G118</f>
        <v>14149.875</v>
      </c>
      <c r="I118" s="529">
        <f>H118</f>
        <v>14149.875</v>
      </c>
      <c r="J118" s="529">
        <f>I118</f>
        <v>14149.875</v>
      </c>
      <c r="K118" s="529">
        <f>J118</f>
        <v>14149.875</v>
      </c>
      <c r="L118" s="589">
        <f>SUM(H118:K118)</f>
        <v>56599.5</v>
      </c>
      <c r="M118" s="529">
        <f>H118</f>
        <v>14149.875</v>
      </c>
      <c r="N118" s="529">
        <f>M118</f>
        <v>14149.875</v>
      </c>
      <c r="O118" s="529">
        <f>N118</f>
        <v>14149.875</v>
      </c>
      <c r="P118" s="529">
        <f>O118</f>
        <v>14149.875</v>
      </c>
      <c r="Q118" s="529">
        <f>SUM(M118:P118)</f>
        <v>56599.5</v>
      </c>
      <c r="R118" s="529">
        <f>H118</f>
        <v>14149.875</v>
      </c>
      <c r="S118" s="529">
        <f>R118</f>
        <v>14149.875</v>
      </c>
      <c r="T118" s="529">
        <f>S118</f>
        <v>14149.875</v>
      </c>
      <c r="U118" s="529"/>
      <c r="V118" s="529">
        <f>SUM(R118:U118)</f>
        <v>42449.625</v>
      </c>
      <c r="W118" s="589">
        <f>G118+L118+Q118+V118</f>
        <v>169798.5</v>
      </c>
      <c r="X118" s="577"/>
      <c r="Y118" s="545"/>
    </row>
    <row r="119" spans="1:34" s="508" customFormat="1" ht="13.5" hidden="1" outlineLevel="1" thickBot="1" x14ac:dyDescent="0.3">
      <c r="B119" s="590" t="s">
        <v>239</v>
      </c>
      <c r="C119" s="591"/>
      <c r="D119" s="591"/>
      <c r="E119" s="591"/>
      <c r="F119" s="591"/>
      <c r="G119" s="591"/>
      <c r="H119" s="591"/>
      <c r="I119" s="591"/>
      <c r="J119" s="591"/>
      <c r="K119" s="591"/>
      <c r="L119" s="592"/>
      <c r="M119" s="591"/>
      <c r="N119" s="591"/>
      <c r="O119" s="591"/>
      <c r="P119" s="591"/>
      <c r="Q119" s="591"/>
      <c r="R119" s="591"/>
      <c r="S119" s="591"/>
      <c r="T119" s="591"/>
      <c r="U119" s="591"/>
      <c r="V119" s="591"/>
      <c r="W119" s="592"/>
      <c r="X119" s="577"/>
      <c r="Y119" s="545"/>
    </row>
    <row r="120" spans="1:34" s="508" customFormat="1" collapsed="1" x14ac:dyDescent="0.25">
      <c r="X120" s="577"/>
      <c r="Y120" s="545"/>
    </row>
    <row r="121" spans="1:34" s="508" customFormat="1" hidden="1" outlineLevel="1" x14ac:dyDescent="0.25">
      <c r="B121" s="593" t="s">
        <v>253</v>
      </c>
      <c r="C121" s="586"/>
      <c r="D121" s="586"/>
      <c r="E121" s="594"/>
      <c r="F121" s="594"/>
      <c r="G121" s="594"/>
      <c r="H121" s="594"/>
      <c r="I121" s="594"/>
      <c r="J121" s="594"/>
      <c r="K121" s="594"/>
      <c r="L121" s="595"/>
      <c r="M121" s="594"/>
      <c r="N121" s="594"/>
      <c r="O121" s="594"/>
      <c r="P121" s="594"/>
      <c r="Q121" s="594"/>
      <c r="R121" s="594"/>
      <c r="S121" s="594"/>
      <c r="T121" s="594"/>
      <c r="U121" s="594"/>
      <c r="V121" s="594"/>
      <c r="W121" s="596"/>
      <c r="X121" s="577"/>
      <c r="Y121" s="567" t="s">
        <v>311</v>
      </c>
    </row>
    <row r="122" spans="1:34" s="534" customFormat="1" hidden="1" outlineLevel="1" x14ac:dyDescent="0.25">
      <c r="B122" s="542" t="s">
        <v>191</v>
      </c>
      <c r="C122" s="475" t="s">
        <v>192</v>
      </c>
      <c r="E122" s="469"/>
      <c r="F122" s="485">
        <v>11485</v>
      </c>
      <c r="G122" s="469">
        <f>SUM(E122:F122)</f>
        <v>11485</v>
      </c>
      <c r="H122" s="469"/>
      <c r="I122" s="469"/>
      <c r="J122" s="469"/>
      <c r="K122" s="469"/>
      <c r="L122" s="481"/>
      <c r="M122" s="469"/>
      <c r="N122" s="469"/>
      <c r="O122" s="469"/>
      <c r="P122" s="469"/>
      <c r="Q122" s="469"/>
      <c r="R122" s="469"/>
      <c r="S122" s="469"/>
      <c r="T122" s="469"/>
      <c r="U122" s="469"/>
      <c r="V122" s="469"/>
      <c r="W122" s="468">
        <f t="shared" ref="W122:W128" si="121">G122+L122+Q122+V122</f>
        <v>11485</v>
      </c>
      <c r="X122" s="469"/>
      <c r="Y122" s="567" t="s">
        <v>252</v>
      </c>
    </row>
    <row r="123" spans="1:34" s="534" customFormat="1" hidden="1" outlineLevel="1" x14ac:dyDescent="0.25">
      <c r="B123" s="542" t="s">
        <v>193</v>
      </c>
      <c r="C123" s="475" t="s">
        <v>192</v>
      </c>
      <c r="E123" s="469"/>
      <c r="F123" s="485">
        <v>861</v>
      </c>
      <c r="G123" s="469">
        <f t="shared" ref="G123:G128" si="122">SUM(E123:F123)</f>
        <v>861</v>
      </c>
      <c r="H123" s="469"/>
      <c r="I123" s="469"/>
      <c r="J123" s="469"/>
      <c r="K123" s="469"/>
      <c r="L123" s="481"/>
      <c r="M123" s="471"/>
      <c r="N123" s="471"/>
      <c r="O123" s="471"/>
      <c r="P123" s="471"/>
      <c r="Q123" s="469"/>
      <c r="R123" s="469"/>
      <c r="S123" s="469"/>
      <c r="T123" s="469"/>
      <c r="U123" s="469"/>
      <c r="V123" s="469"/>
      <c r="W123" s="468">
        <f t="shared" si="121"/>
        <v>861</v>
      </c>
      <c r="X123" s="469"/>
      <c r="Y123" s="567" t="s">
        <v>252</v>
      </c>
    </row>
    <row r="124" spans="1:34" s="534" customFormat="1" hidden="1" outlineLevel="1" x14ac:dyDescent="0.25">
      <c r="B124" s="542" t="s">
        <v>194</v>
      </c>
      <c r="C124" s="475" t="s">
        <v>195</v>
      </c>
      <c r="E124" s="469"/>
      <c r="F124" s="485">
        <f>4000*(180*60%)*3.4%</f>
        <v>14688.000000000002</v>
      </c>
      <c r="G124" s="469">
        <f>SUM(E124:F124)</f>
        <v>14688.000000000002</v>
      </c>
      <c r="H124" s="469"/>
      <c r="I124" s="469"/>
      <c r="J124" s="469"/>
      <c r="K124" s="469"/>
      <c r="L124" s="481"/>
      <c r="M124" s="471"/>
      <c r="N124" s="471"/>
      <c r="O124" s="471"/>
      <c r="P124" s="471"/>
      <c r="Q124" s="469"/>
      <c r="R124" s="469"/>
      <c r="S124" s="469"/>
      <c r="T124" s="469"/>
      <c r="U124" s="469"/>
      <c r="V124" s="469"/>
      <c r="W124" s="468">
        <f t="shared" si="121"/>
        <v>14688.000000000002</v>
      </c>
      <c r="X124" s="469"/>
      <c r="Y124" s="567" t="s">
        <v>252</v>
      </c>
      <c r="AA124" s="546"/>
      <c r="AB124" s="546"/>
      <c r="AC124" s="546"/>
      <c r="AD124" s="546"/>
      <c r="AE124" s="546"/>
      <c r="AF124" s="546"/>
      <c r="AG124" s="546"/>
      <c r="AH124" s="546"/>
    </row>
    <row r="125" spans="1:34" s="534" customFormat="1" ht="14.45" hidden="1" customHeight="1" outlineLevel="1" x14ac:dyDescent="0.25">
      <c r="B125" s="542" t="s">
        <v>309</v>
      </c>
      <c r="C125" s="475" t="s">
        <v>195</v>
      </c>
      <c r="E125" s="515"/>
      <c r="F125" s="485">
        <f>((4882*(65+20)*2.5%)+((7100*(50+20)*4.3%)))-24255+300-790</f>
        <v>7000.25</v>
      </c>
      <c r="G125" s="469">
        <f>SUM(E125:F125)</f>
        <v>7000.25</v>
      </c>
      <c r="H125" s="469"/>
      <c r="I125" s="469"/>
      <c r="J125" s="469"/>
      <c r="K125" s="469"/>
      <c r="L125" s="481"/>
      <c r="M125" s="471"/>
      <c r="N125" s="471"/>
      <c r="O125" s="471"/>
      <c r="P125" s="471"/>
      <c r="Q125" s="469"/>
      <c r="R125" s="469"/>
      <c r="S125" s="469"/>
      <c r="T125" s="469"/>
      <c r="U125" s="469"/>
      <c r="V125" s="469"/>
      <c r="W125" s="468">
        <f t="shared" si="121"/>
        <v>7000.25</v>
      </c>
      <c r="X125" s="469"/>
      <c r="Y125" s="567" t="s">
        <v>252</v>
      </c>
      <c r="AA125" s="530"/>
      <c r="AB125" s="530"/>
      <c r="AC125" s="530"/>
      <c r="AD125" s="530"/>
      <c r="AE125" s="530"/>
      <c r="AF125" s="530"/>
      <c r="AG125" s="530"/>
      <c r="AH125" s="530"/>
    </row>
    <row r="126" spans="1:34" s="534" customFormat="1" ht="14.45" hidden="1" customHeight="1" outlineLevel="1" x14ac:dyDescent="0.25">
      <c r="B126" s="542" t="s">
        <v>196</v>
      </c>
      <c r="C126" s="475" t="s">
        <v>195</v>
      </c>
      <c r="E126" s="515"/>
      <c r="F126" s="485">
        <v>43000</v>
      </c>
      <c r="G126" s="469">
        <f>SUM(E126:F126)</f>
        <v>43000</v>
      </c>
      <c r="H126" s="469"/>
      <c r="I126" s="469"/>
      <c r="J126" s="469"/>
      <c r="K126" s="469"/>
      <c r="L126" s="481"/>
      <c r="M126" s="471"/>
      <c r="N126" s="471"/>
      <c r="O126" s="471"/>
      <c r="P126" s="471"/>
      <c r="Q126" s="469"/>
      <c r="R126" s="469"/>
      <c r="S126" s="469"/>
      <c r="T126" s="469"/>
      <c r="U126" s="469"/>
      <c r="V126" s="469"/>
      <c r="W126" s="468">
        <f t="shared" si="121"/>
        <v>43000</v>
      </c>
      <c r="X126" s="469"/>
      <c r="Y126" s="567" t="s">
        <v>252</v>
      </c>
      <c r="AA126" s="530"/>
      <c r="AB126" s="530"/>
      <c r="AC126" s="530"/>
      <c r="AD126" s="530"/>
      <c r="AE126" s="530"/>
      <c r="AF126" s="530"/>
      <c r="AG126" s="530"/>
      <c r="AH126" s="530"/>
    </row>
    <row r="127" spans="1:34" s="534" customFormat="1" hidden="1" outlineLevel="1" x14ac:dyDescent="0.25">
      <c r="B127" s="542" t="s">
        <v>218</v>
      </c>
      <c r="C127" s="475" t="s">
        <v>195</v>
      </c>
      <c r="E127" s="469"/>
      <c r="F127" s="471">
        <f>4000*12</f>
        <v>48000</v>
      </c>
      <c r="G127" s="469">
        <f>SUM(E127:F127)</f>
        <v>48000</v>
      </c>
      <c r="H127" s="471"/>
      <c r="I127" s="471"/>
      <c r="J127" s="471"/>
      <c r="K127" s="471"/>
      <c r="L127" s="481"/>
      <c r="M127" s="471"/>
      <c r="N127" s="471"/>
      <c r="O127" s="471"/>
      <c r="P127" s="471"/>
      <c r="Q127" s="469">
        <f>SUM(M127:P127)</f>
        <v>0</v>
      </c>
      <c r="R127" s="471"/>
      <c r="S127" s="471"/>
      <c r="T127" s="471"/>
      <c r="U127" s="471"/>
      <c r="V127" s="469">
        <f>SUM(R127:U127)</f>
        <v>0</v>
      </c>
      <c r="W127" s="468">
        <f t="shared" si="121"/>
        <v>48000</v>
      </c>
      <c r="X127" s="469"/>
      <c r="Y127" s="567" t="s">
        <v>252</v>
      </c>
    </row>
    <row r="128" spans="1:34" s="534" customFormat="1" ht="13.5" hidden="1" outlineLevel="1" thickBot="1" x14ac:dyDescent="0.3">
      <c r="B128" s="597" t="s">
        <v>174</v>
      </c>
      <c r="C128" s="598"/>
      <c r="D128" s="599"/>
      <c r="E128" s="491"/>
      <c r="F128" s="600">
        <f>SUM(F122:F127)</f>
        <v>125034.25</v>
      </c>
      <c r="G128" s="491">
        <f t="shared" si="122"/>
        <v>125034.25</v>
      </c>
      <c r="H128" s="491"/>
      <c r="I128" s="491"/>
      <c r="J128" s="491"/>
      <c r="K128" s="491"/>
      <c r="L128" s="601"/>
      <c r="M128" s="602"/>
      <c r="N128" s="602"/>
      <c r="O128" s="602"/>
      <c r="P128" s="602"/>
      <c r="Q128" s="491"/>
      <c r="R128" s="602"/>
      <c r="S128" s="602"/>
      <c r="T128" s="602"/>
      <c r="U128" s="602"/>
      <c r="V128" s="491"/>
      <c r="W128" s="492">
        <f t="shared" si="121"/>
        <v>125034.25</v>
      </c>
      <c r="X128" s="469"/>
      <c r="Y128" s="567" t="s">
        <v>252</v>
      </c>
    </row>
    <row r="129" spans="2:41" s="508" customFormat="1" hidden="1" outlineLevel="1" x14ac:dyDescent="0.25">
      <c r="B129" s="603" t="s">
        <v>310</v>
      </c>
      <c r="X129" s="577"/>
      <c r="Z129" s="550"/>
      <c r="AA129" s="550"/>
      <c r="AB129" s="550"/>
      <c r="AC129" s="550"/>
      <c r="AD129" s="550"/>
      <c r="AE129" s="550"/>
      <c r="AF129" s="550"/>
      <c r="AG129" s="550"/>
      <c r="AH129" s="550"/>
      <c r="AI129" s="550"/>
      <c r="AJ129" s="550"/>
      <c r="AK129" s="550"/>
      <c r="AL129" s="550"/>
      <c r="AM129" s="550"/>
      <c r="AN129" s="550"/>
      <c r="AO129" s="550"/>
    </row>
    <row r="130" spans="2:41" s="508" customFormat="1" collapsed="1" x14ac:dyDescent="0.25">
      <c r="X130" s="577"/>
      <c r="Y130" s="545"/>
    </row>
    <row r="131" spans="2:41" s="508" customFormat="1" x14ac:dyDescent="0.25">
      <c r="B131" s="508" t="s">
        <v>320</v>
      </c>
      <c r="F131" s="493">
        <f t="shared" ref="F131:L131" si="123">F19/F14</f>
        <v>27594.990300325117</v>
      </c>
      <c r="G131" s="493">
        <f t="shared" si="123"/>
        <v>27594.985300325112</v>
      </c>
      <c r="H131" s="493">
        <f t="shared" si="123"/>
        <v>27277.568740634706</v>
      </c>
      <c r="I131" s="493">
        <f t="shared" si="123"/>
        <v>24088.818740634706</v>
      </c>
      <c r="J131" s="493">
        <f t="shared" si="123"/>
        <v>25228.00408356556</v>
      </c>
      <c r="K131" s="493">
        <f t="shared" si="123"/>
        <v>24241.01003594651</v>
      </c>
      <c r="L131" s="493">
        <f t="shared" si="123"/>
        <v>97166.327494976504</v>
      </c>
      <c r="X131" s="577"/>
      <c r="Y131" s="545"/>
      <c r="Z131" s="604" t="s">
        <v>321</v>
      </c>
    </row>
    <row r="132" spans="2:41" s="508" customFormat="1" x14ac:dyDescent="0.25">
      <c r="B132" s="508" t="s">
        <v>319</v>
      </c>
      <c r="F132" s="493">
        <f t="shared" ref="F132:L132" si="124">F78/F14</f>
        <v>17447.47869153307</v>
      </c>
      <c r="G132" s="493">
        <f t="shared" si="124"/>
        <v>17447.47869153307</v>
      </c>
      <c r="H132" s="493">
        <f t="shared" si="124"/>
        <v>18204.262455025437</v>
      </c>
      <c r="I132" s="493">
        <f t="shared" si="124"/>
        <v>18204.262455025437</v>
      </c>
      <c r="J132" s="493">
        <f t="shared" si="124"/>
        <v>18384.449065380762</v>
      </c>
      <c r="K132" s="493">
        <f t="shared" si="124"/>
        <v>18384.449065380762</v>
      </c>
      <c r="L132" s="493">
        <f t="shared" si="124"/>
        <v>70576.814118665905</v>
      </c>
      <c r="X132" s="577"/>
      <c r="Y132" s="545"/>
    </row>
    <row r="133" spans="2:41" s="508" customFormat="1" x14ac:dyDescent="0.25">
      <c r="X133" s="577"/>
      <c r="Y133" s="545"/>
    </row>
    <row r="134" spans="2:41" x14ac:dyDescent="0.25">
      <c r="L134" s="656">
        <f>L132/L131</f>
        <v>0.72635053663332827</v>
      </c>
    </row>
  </sheetData>
  <mergeCells count="17">
    <mergeCell ref="Y65:AH65"/>
    <mergeCell ref="Y67:AH67"/>
    <mergeCell ref="Y78:AH78"/>
    <mergeCell ref="Y79:AH79"/>
    <mergeCell ref="Y80:AH80"/>
    <mergeCell ref="AI43:AR43"/>
    <mergeCell ref="B6:W6"/>
    <mergeCell ref="B7:W7"/>
    <mergeCell ref="Y7:AO7"/>
    <mergeCell ref="M9:Q9"/>
    <mergeCell ref="R9:V9"/>
    <mergeCell ref="Y12:AH12"/>
    <mergeCell ref="Y13:AH13"/>
    <mergeCell ref="Y36:AH36"/>
    <mergeCell ref="Y38:AH38"/>
    <mergeCell ref="Y41:AH41"/>
    <mergeCell ref="E9:G9"/>
  </mergeCells>
  <hyperlinks>
    <hyperlink ref="AI43:AR43" r:id="rId1" display="HC Costs Copy of Delta Comp v2- 9.27.19 - Sent to Casper.xlsx" xr:uid="{00000000-0004-0000-0000-000000000000}"/>
  </hyperlinks>
  <pageMargins left="0.7" right="0.7" top="0.75" bottom="0.75" header="0.3" footer="0.3"/>
  <pageSetup orientation="portrait" r:id="rId2"/>
  <ignoredErrors>
    <ignoredError sqref="G106 L111"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R118"/>
  <sheetViews>
    <sheetView showGridLines="0" zoomScale="60" zoomScaleNormal="60" workbookViewId="0">
      <pane xSplit="4" ySplit="10" topLeftCell="E11" activePane="bottomRight" state="frozen"/>
      <selection pane="topRight" activeCell="L1" sqref="L1"/>
      <selection pane="bottomLeft" activeCell="A5" sqref="A5"/>
      <selection pane="bottomRight" activeCell="F137" sqref="F137"/>
    </sheetView>
  </sheetViews>
  <sheetFormatPr defaultColWidth="9.140625" defaultRowHeight="15" outlineLevelRow="4" outlineLevelCol="3" x14ac:dyDescent="0.25"/>
  <cols>
    <col min="1" max="1" width="1.5703125" style="166" customWidth="1"/>
    <col min="2" max="2" width="16.85546875" style="166" customWidth="1"/>
    <col min="3" max="3" width="11.85546875" style="165" hidden="1" customWidth="1" outlineLevel="1"/>
    <col min="4" max="4" width="6.140625" style="166" customWidth="1" collapsed="1"/>
    <col min="5" max="6" width="12.140625" style="165" customWidth="1" outlineLevel="2"/>
    <col min="7" max="7" width="12.140625" style="165" bestFit="1" customWidth="1"/>
    <col min="8" max="9" width="12.140625" style="165" customWidth="1"/>
    <col min="10" max="11" width="12.140625" style="165" customWidth="1" outlineLevel="1"/>
    <col min="12" max="12" width="13.85546875" style="165" customWidth="1"/>
    <col min="13" max="16" width="12.140625" style="165" hidden="1" customWidth="1" outlineLevel="2"/>
    <col min="17" max="17" width="12.5703125" style="165" hidden="1" customWidth="1" outlineLevel="1" collapsed="1"/>
    <col min="18" max="21" width="12.140625" style="165" hidden="1" customWidth="1" outlineLevel="3"/>
    <col min="22" max="22" width="13.85546875" style="165" hidden="1" customWidth="1" outlineLevel="1" collapsed="1"/>
    <col min="23" max="23" width="13.85546875" style="165" hidden="1" customWidth="1" outlineLevel="1"/>
    <col min="24" max="24" width="4.42578125" style="168" customWidth="1" collapsed="1"/>
    <col min="25" max="25" width="9.140625" style="170" hidden="1" customWidth="1" outlineLevel="1"/>
    <col min="26" max="26" width="16.7109375" style="166" customWidth="1" collapsed="1"/>
    <col min="27" max="27" width="10.28515625" style="166" bestFit="1" customWidth="1"/>
    <col min="28" max="28" width="9.140625" style="166" customWidth="1"/>
    <col min="29" max="29" width="0.85546875" style="166" customWidth="1"/>
    <col min="30" max="34" width="9.140625" style="166" hidden="1" customWidth="1"/>
    <col min="35" max="35" width="29.28515625" style="166" customWidth="1"/>
    <col min="36" max="16384" width="9.140625" style="166"/>
  </cols>
  <sheetData>
    <row r="1" spans="1:41" ht="16.5" customHeight="1" x14ac:dyDescent="0.25">
      <c r="A1" s="163" t="s">
        <v>180</v>
      </c>
      <c r="B1" s="164"/>
      <c r="U1" s="167"/>
      <c r="Y1" s="169" t="s">
        <v>181</v>
      </c>
    </row>
    <row r="2" spans="1:41" ht="18.75" outlineLevel="1" x14ac:dyDescent="0.25">
      <c r="A2" s="163"/>
      <c r="B2" s="445" t="s">
        <v>257</v>
      </c>
      <c r="C2" s="446"/>
      <c r="D2" s="447"/>
      <c r="E2" s="447"/>
      <c r="F2" s="446"/>
      <c r="G2" s="446"/>
      <c r="H2" s="446"/>
      <c r="I2" s="446"/>
      <c r="J2" s="446"/>
      <c r="K2" s="446"/>
      <c r="L2" s="446"/>
      <c r="M2" s="446"/>
      <c r="N2" s="446"/>
      <c r="O2" s="446"/>
      <c r="P2" s="446"/>
      <c r="Q2" s="446"/>
      <c r="R2" s="446"/>
      <c r="S2" s="446"/>
      <c r="T2" s="446"/>
      <c r="U2" s="448"/>
      <c r="V2" s="446"/>
      <c r="W2" s="446"/>
      <c r="Y2" s="170" t="s">
        <v>306</v>
      </c>
    </row>
    <row r="3" spans="1:41" ht="18.75" outlineLevel="1" x14ac:dyDescent="0.25">
      <c r="A3" s="163"/>
      <c r="B3" s="449" t="s">
        <v>297</v>
      </c>
      <c r="C3" s="446"/>
      <c r="D3" s="447"/>
      <c r="E3" s="446"/>
      <c r="F3" s="446"/>
      <c r="G3" s="446"/>
      <c r="H3" s="446"/>
      <c r="I3" s="446"/>
      <c r="J3" s="446"/>
      <c r="K3" s="446"/>
      <c r="L3" s="446"/>
      <c r="M3" s="446"/>
      <c r="N3" s="446"/>
      <c r="O3" s="446"/>
      <c r="P3" s="446"/>
      <c r="Q3" s="446"/>
      <c r="R3" s="446"/>
      <c r="S3" s="446"/>
      <c r="T3" s="446"/>
      <c r="U3" s="448"/>
      <c r="V3" s="446"/>
      <c r="W3" s="446"/>
    </row>
    <row r="4" spans="1:41" ht="18.75" outlineLevel="1" x14ac:dyDescent="0.25">
      <c r="A4" s="163"/>
      <c r="B4" s="449" t="s">
        <v>182</v>
      </c>
      <c r="C4" s="446"/>
      <c r="D4" s="447"/>
      <c r="E4" s="446"/>
      <c r="F4" s="446"/>
      <c r="G4" s="446"/>
      <c r="H4" s="446"/>
      <c r="I4" s="446"/>
      <c r="J4" s="446"/>
      <c r="K4" s="446"/>
      <c r="L4" s="446"/>
      <c r="M4" s="446"/>
      <c r="N4" s="446"/>
      <c r="O4" s="446"/>
      <c r="P4" s="446"/>
      <c r="Q4" s="446"/>
      <c r="R4" s="446"/>
      <c r="S4" s="446"/>
      <c r="T4" s="446"/>
      <c r="U4" s="448"/>
      <c r="V4" s="446"/>
      <c r="W4" s="446"/>
    </row>
    <row r="5" spans="1:41" ht="16.5" customHeight="1" outlineLevel="1" x14ac:dyDescent="0.25">
      <c r="A5" s="163"/>
      <c r="B5" s="449" t="s">
        <v>183</v>
      </c>
      <c r="C5" s="446"/>
      <c r="D5" s="447"/>
      <c r="E5" s="446"/>
      <c r="F5" s="446"/>
      <c r="G5" s="446"/>
      <c r="H5" s="446"/>
      <c r="I5" s="446"/>
      <c r="J5" s="446"/>
      <c r="K5" s="446"/>
      <c r="L5" s="446"/>
      <c r="M5" s="446"/>
      <c r="N5" s="446"/>
      <c r="O5" s="446"/>
      <c r="P5" s="446"/>
      <c r="Q5" s="446"/>
      <c r="R5" s="446"/>
      <c r="S5" s="446"/>
      <c r="T5" s="446"/>
      <c r="U5" s="448"/>
      <c r="V5" s="446"/>
      <c r="W5" s="446"/>
    </row>
    <row r="6" spans="1:41" ht="18.75" outlineLevel="1" x14ac:dyDescent="0.25">
      <c r="A6" s="163"/>
      <c r="B6" s="776" t="s">
        <v>296</v>
      </c>
      <c r="C6" s="776"/>
      <c r="D6" s="776"/>
      <c r="E6" s="776"/>
      <c r="F6" s="776"/>
      <c r="G6" s="776"/>
      <c r="H6" s="776"/>
      <c r="I6" s="776"/>
      <c r="J6" s="776"/>
      <c r="K6" s="776"/>
      <c r="L6" s="776"/>
      <c r="M6" s="776"/>
      <c r="N6" s="776"/>
      <c r="O6" s="776"/>
      <c r="P6" s="776"/>
      <c r="Q6" s="776"/>
      <c r="R6" s="776"/>
      <c r="S6" s="776"/>
      <c r="T6" s="776"/>
      <c r="U6" s="776"/>
      <c r="V6" s="776"/>
      <c r="W6" s="776"/>
    </row>
    <row r="7" spans="1:41" ht="19.5" outlineLevel="1" thickBot="1" x14ac:dyDescent="0.3">
      <c r="A7" s="163"/>
      <c r="B7" s="776" t="s">
        <v>314</v>
      </c>
      <c r="C7" s="776"/>
      <c r="D7" s="776"/>
      <c r="E7" s="776"/>
      <c r="F7" s="776"/>
      <c r="G7" s="776"/>
      <c r="H7" s="776"/>
      <c r="I7" s="776"/>
      <c r="J7" s="776"/>
      <c r="K7" s="776"/>
      <c r="L7" s="776"/>
      <c r="M7" s="776"/>
      <c r="N7" s="776"/>
      <c r="O7" s="776"/>
      <c r="P7" s="776"/>
      <c r="Q7" s="776"/>
      <c r="R7" s="776"/>
      <c r="S7" s="776"/>
      <c r="T7" s="776"/>
      <c r="U7" s="776"/>
      <c r="V7" s="776"/>
      <c r="W7" s="776"/>
      <c r="Y7" s="775"/>
      <c r="Z7" s="775"/>
      <c r="AA7" s="775"/>
      <c r="AB7" s="775"/>
      <c r="AC7" s="775"/>
      <c r="AD7" s="775"/>
      <c r="AE7" s="775"/>
      <c r="AF7" s="775"/>
      <c r="AG7" s="775"/>
      <c r="AH7" s="775"/>
      <c r="AI7" s="775"/>
      <c r="AJ7" s="775"/>
      <c r="AK7" s="775"/>
      <c r="AL7" s="775"/>
      <c r="AM7" s="775"/>
      <c r="AN7" s="775"/>
      <c r="AO7" s="775"/>
    </row>
    <row r="8" spans="1:41" ht="16.5" hidden="1" customHeight="1" thickBot="1" x14ac:dyDescent="0.3">
      <c r="A8" s="163"/>
      <c r="B8" s="164"/>
      <c r="U8" s="167"/>
    </row>
    <row r="9" spans="1:41" ht="16.5" customHeight="1" thickBot="1" x14ac:dyDescent="0.3">
      <c r="B9" s="171"/>
      <c r="C9" s="172"/>
      <c r="D9" s="173"/>
      <c r="E9" s="777">
        <v>2019</v>
      </c>
      <c r="F9" s="778"/>
      <c r="G9" s="779"/>
      <c r="H9" s="777">
        <v>2020</v>
      </c>
      <c r="I9" s="778"/>
      <c r="J9" s="778"/>
      <c r="K9" s="778"/>
      <c r="L9" s="779"/>
      <c r="M9" s="778">
        <v>2021</v>
      </c>
      <c r="N9" s="778"/>
      <c r="O9" s="778"/>
      <c r="P9" s="778"/>
      <c r="Q9" s="779"/>
      <c r="R9" s="777">
        <v>2022</v>
      </c>
      <c r="S9" s="778"/>
      <c r="T9" s="778"/>
      <c r="U9" s="778"/>
      <c r="V9" s="779"/>
      <c r="W9" s="174" t="s">
        <v>184</v>
      </c>
      <c r="X9" s="175"/>
      <c r="Y9" s="176"/>
    </row>
    <row r="10" spans="1:41" x14ac:dyDescent="0.25">
      <c r="B10" s="177"/>
      <c r="C10" s="178" t="s">
        <v>185</v>
      </c>
      <c r="D10" s="179"/>
      <c r="E10" s="180" t="s">
        <v>10</v>
      </c>
      <c r="F10" s="180" t="s">
        <v>17</v>
      </c>
      <c r="G10" s="181" t="s">
        <v>186</v>
      </c>
      <c r="H10" s="182" t="s">
        <v>18</v>
      </c>
      <c r="I10" s="183" t="s">
        <v>19</v>
      </c>
      <c r="J10" s="183" t="s">
        <v>10</v>
      </c>
      <c r="K10" s="184" t="s">
        <v>17</v>
      </c>
      <c r="L10" s="185" t="s">
        <v>186</v>
      </c>
      <c r="M10" s="180" t="s">
        <v>18</v>
      </c>
      <c r="N10" s="183" t="s">
        <v>19</v>
      </c>
      <c r="O10" s="183" t="s">
        <v>10</v>
      </c>
      <c r="P10" s="186" t="s">
        <v>17</v>
      </c>
      <c r="Q10" s="185" t="s">
        <v>186</v>
      </c>
      <c r="R10" s="182" t="s">
        <v>18</v>
      </c>
      <c r="S10" s="183" t="s">
        <v>19</v>
      </c>
      <c r="T10" s="183" t="s">
        <v>10</v>
      </c>
      <c r="U10" s="186" t="s">
        <v>17</v>
      </c>
      <c r="V10" s="185" t="s">
        <v>186</v>
      </c>
      <c r="W10" s="186" t="s">
        <v>187</v>
      </c>
      <c r="X10" s="187"/>
      <c r="Y10" s="166"/>
    </row>
    <row r="11" spans="1:41" s="188" customFormat="1" x14ac:dyDescent="0.25">
      <c r="B11" s="189" t="s">
        <v>188</v>
      </c>
      <c r="C11" s="190"/>
      <c r="D11" s="190"/>
      <c r="E11" s="191"/>
      <c r="F11" s="191">
        <f>[1]Sheet1!$A$28</f>
        <v>14</v>
      </c>
      <c r="G11" s="192">
        <f>F11</f>
        <v>14</v>
      </c>
      <c r="H11" s="192">
        <f t="shared" ref="H11:V11" si="0">G11</f>
        <v>14</v>
      </c>
      <c r="I11" s="191">
        <f t="shared" si="0"/>
        <v>14</v>
      </c>
      <c r="J11" s="191">
        <f t="shared" si="0"/>
        <v>14</v>
      </c>
      <c r="K11" s="191">
        <f t="shared" si="0"/>
        <v>14</v>
      </c>
      <c r="L11" s="194">
        <f t="shared" si="0"/>
        <v>14</v>
      </c>
      <c r="M11" s="191">
        <f t="shared" si="0"/>
        <v>14</v>
      </c>
      <c r="N11" s="191">
        <f t="shared" si="0"/>
        <v>14</v>
      </c>
      <c r="O11" s="191">
        <f t="shared" si="0"/>
        <v>14</v>
      </c>
      <c r="P11" s="191">
        <f t="shared" si="0"/>
        <v>14</v>
      </c>
      <c r="Q11" s="192">
        <f t="shared" si="0"/>
        <v>14</v>
      </c>
      <c r="R11" s="192">
        <f t="shared" si="0"/>
        <v>14</v>
      </c>
      <c r="S11" s="191">
        <f t="shared" si="0"/>
        <v>14</v>
      </c>
      <c r="T11" s="191">
        <f t="shared" si="0"/>
        <v>14</v>
      </c>
      <c r="U11" s="191">
        <f t="shared" si="0"/>
        <v>14</v>
      </c>
      <c r="V11" s="192">
        <f t="shared" si="0"/>
        <v>14</v>
      </c>
      <c r="W11" s="194">
        <f>V11</f>
        <v>14</v>
      </c>
      <c r="X11" s="191"/>
      <c r="Y11" s="780"/>
      <c r="Z11" s="780"/>
      <c r="AA11" s="780"/>
      <c r="AB11" s="780"/>
      <c r="AC11" s="780"/>
      <c r="AD11" s="780"/>
      <c r="AE11" s="780"/>
      <c r="AF11" s="780"/>
      <c r="AG11" s="780"/>
      <c r="AH11" s="780"/>
    </row>
    <row r="12" spans="1:41" s="188" customFormat="1" x14ac:dyDescent="0.25">
      <c r="B12" s="189" t="s">
        <v>189</v>
      </c>
      <c r="C12" s="190"/>
      <c r="D12" s="190"/>
      <c r="E12" s="191"/>
      <c r="F12" s="191">
        <v>6</v>
      </c>
      <c r="G12" s="192">
        <f>F12</f>
        <v>6</v>
      </c>
      <c r="H12" s="193">
        <v>12</v>
      </c>
      <c r="I12" s="191">
        <v>12</v>
      </c>
      <c r="J12" s="191">
        <v>14</v>
      </c>
      <c r="K12" s="191">
        <v>14</v>
      </c>
      <c r="L12" s="194">
        <f>K12</f>
        <v>14</v>
      </c>
      <c r="M12" s="191">
        <v>14</v>
      </c>
      <c r="N12" s="191">
        <v>14</v>
      </c>
      <c r="O12" s="191">
        <v>14</v>
      </c>
      <c r="P12" s="194">
        <v>14</v>
      </c>
      <c r="Q12" s="194">
        <f>P12</f>
        <v>14</v>
      </c>
      <c r="R12" s="193">
        <f t="shared" ref="R12" si="1">P12</f>
        <v>14</v>
      </c>
      <c r="S12" s="191">
        <f>R12</f>
        <v>14</v>
      </c>
      <c r="T12" s="191">
        <f>S12</f>
        <v>14</v>
      </c>
      <c r="U12" s="194">
        <f>T12</f>
        <v>14</v>
      </c>
      <c r="V12" s="194">
        <f>U12</f>
        <v>14</v>
      </c>
      <c r="W12" s="194">
        <f>V12</f>
        <v>14</v>
      </c>
      <c r="X12" s="191"/>
      <c r="Y12" s="781"/>
      <c r="Z12" s="781"/>
      <c r="AA12" s="781"/>
      <c r="AB12" s="781"/>
      <c r="AC12" s="781"/>
      <c r="AD12" s="781"/>
      <c r="AE12" s="781"/>
      <c r="AF12" s="781"/>
      <c r="AG12" s="781"/>
      <c r="AH12" s="781"/>
    </row>
    <row r="13" spans="1:41" s="195" customFormat="1" x14ac:dyDescent="0.25">
      <c r="B13" s="196" t="s">
        <v>190</v>
      </c>
      <c r="C13" s="197"/>
      <c r="D13" s="197"/>
      <c r="E13" s="198"/>
      <c r="F13" s="198">
        <f>F11+F12</f>
        <v>20</v>
      </c>
      <c r="G13" s="198">
        <f t="shared" ref="G13:V13" si="2">G11+G12</f>
        <v>20</v>
      </c>
      <c r="H13" s="198">
        <f t="shared" si="2"/>
        <v>26</v>
      </c>
      <c r="I13" s="198">
        <f t="shared" si="2"/>
        <v>26</v>
      </c>
      <c r="J13" s="198">
        <f t="shared" si="2"/>
        <v>28</v>
      </c>
      <c r="K13" s="198">
        <f t="shared" si="2"/>
        <v>28</v>
      </c>
      <c r="L13" s="199">
        <f t="shared" si="2"/>
        <v>28</v>
      </c>
      <c r="M13" s="198">
        <f t="shared" si="2"/>
        <v>28</v>
      </c>
      <c r="N13" s="198">
        <f t="shared" si="2"/>
        <v>28</v>
      </c>
      <c r="O13" s="198">
        <f t="shared" si="2"/>
        <v>28</v>
      </c>
      <c r="P13" s="198">
        <f t="shared" si="2"/>
        <v>28</v>
      </c>
      <c r="Q13" s="198">
        <f t="shared" si="2"/>
        <v>28</v>
      </c>
      <c r="R13" s="198">
        <f t="shared" si="2"/>
        <v>28</v>
      </c>
      <c r="S13" s="198">
        <f t="shared" si="2"/>
        <v>28</v>
      </c>
      <c r="T13" s="198">
        <f t="shared" si="2"/>
        <v>28</v>
      </c>
      <c r="U13" s="198">
        <f t="shared" si="2"/>
        <v>28</v>
      </c>
      <c r="V13" s="198">
        <f t="shared" si="2"/>
        <v>28</v>
      </c>
      <c r="W13" s="199">
        <f>V13</f>
        <v>28</v>
      </c>
      <c r="X13" s="191"/>
    </row>
    <row r="14" spans="1:41" s="195" customFormat="1" x14ac:dyDescent="0.25">
      <c r="B14" s="458"/>
      <c r="C14" s="201"/>
      <c r="D14" s="201"/>
      <c r="E14" s="191"/>
      <c r="F14" s="191"/>
      <c r="G14" s="191"/>
      <c r="H14" s="191"/>
      <c r="I14" s="191"/>
      <c r="J14" s="191"/>
      <c r="K14" s="191"/>
      <c r="L14" s="194"/>
      <c r="M14" s="191"/>
      <c r="N14" s="191"/>
      <c r="O14" s="191"/>
      <c r="P14" s="191"/>
      <c r="Q14" s="191"/>
      <c r="R14" s="191"/>
      <c r="S14" s="191"/>
      <c r="T14" s="191"/>
      <c r="U14" s="191"/>
      <c r="V14" s="191"/>
      <c r="W14" s="194"/>
      <c r="X14" s="191"/>
    </row>
    <row r="15" spans="1:41" s="195" customFormat="1" hidden="1" outlineLevel="1" x14ac:dyDescent="0.25">
      <c r="B15" s="200" t="s">
        <v>251</v>
      </c>
      <c r="C15" s="201"/>
      <c r="D15" s="201"/>
      <c r="E15" s="191"/>
      <c r="F15" s="191"/>
      <c r="G15" s="191"/>
      <c r="H15" s="191"/>
      <c r="I15" s="191"/>
      <c r="J15" s="191"/>
      <c r="K15" s="191"/>
      <c r="L15" s="194"/>
      <c r="M15" s="191"/>
      <c r="N15" s="191"/>
      <c r="O15" s="191"/>
      <c r="P15" s="191"/>
      <c r="Q15" s="191"/>
      <c r="R15" s="191"/>
      <c r="S15" s="191"/>
      <c r="T15" s="191"/>
      <c r="U15" s="191"/>
      <c r="V15" s="191"/>
      <c r="W15" s="194"/>
      <c r="X15" s="191"/>
    </row>
    <row r="16" spans="1:41" s="202" customFormat="1" hidden="1" outlineLevel="2" x14ac:dyDescent="0.25">
      <c r="B16" s="462" t="s">
        <v>313</v>
      </c>
      <c r="C16" s="204" t="s">
        <v>195</v>
      </c>
      <c r="E16" s="213"/>
      <c r="F16" s="206">
        <f>100000</f>
        <v>100000</v>
      </c>
      <c r="G16" s="207">
        <f>SUM(E16:F16)</f>
        <v>100000</v>
      </c>
      <c r="H16" s="208"/>
      <c r="I16" s="209"/>
      <c r="J16" s="209"/>
      <c r="K16" s="209"/>
      <c r="L16" s="436"/>
      <c r="M16" s="214"/>
      <c r="N16" s="214"/>
      <c r="O16" s="214"/>
      <c r="P16" s="214"/>
      <c r="Q16" s="210"/>
      <c r="R16" s="214"/>
      <c r="S16" s="214"/>
      <c r="T16" s="214"/>
      <c r="U16" s="214"/>
      <c r="V16" s="210"/>
      <c r="W16" s="340">
        <f>G16+L16+Q16+V16</f>
        <v>100000</v>
      </c>
      <c r="X16" s="211"/>
      <c r="Y16" s="218"/>
    </row>
    <row r="17" spans="2:44" s="202" customFormat="1" hidden="1" outlineLevel="2" x14ac:dyDescent="0.25">
      <c r="B17" s="394" t="s">
        <v>270</v>
      </c>
      <c r="C17" s="204"/>
      <c r="E17" s="213"/>
      <c r="F17" s="431">
        <f>'Recoverable units'!F20</f>
        <v>164003.40000000002</v>
      </c>
      <c r="G17" s="207">
        <f>SUM(E17:F17)</f>
        <v>164003.40000000002</v>
      </c>
      <c r="H17" s="208"/>
      <c r="I17" s="209"/>
      <c r="J17" s="209"/>
      <c r="K17" s="209"/>
      <c r="L17" s="436"/>
      <c r="M17" s="214"/>
      <c r="N17" s="214"/>
      <c r="O17" s="214"/>
      <c r="P17" s="214"/>
      <c r="Q17" s="210"/>
      <c r="R17" s="214"/>
      <c r="S17" s="214"/>
      <c r="T17" s="214"/>
      <c r="U17" s="214"/>
      <c r="V17" s="210"/>
      <c r="W17" s="340">
        <f>G17+L17+Q17+V17</f>
        <v>164003.40000000002</v>
      </c>
      <c r="X17" s="211"/>
      <c r="Y17" s="216"/>
    </row>
    <row r="18" spans="2:44" s="202" customFormat="1" hidden="1" outlineLevel="1" x14ac:dyDescent="0.25">
      <c r="B18" s="203"/>
      <c r="C18" s="204"/>
      <c r="E18" s="217"/>
      <c r="F18" s="220"/>
      <c r="G18" s="221"/>
      <c r="H18" s="205"/>
      <c r="I18" s="178"/>
      <c r="J18" s="178"/>
      <c r="K18" s="178"/>
      <c r="L18" s="437"/>
      <c r="M18" s="223"/>
      <c r="N18" s="204"/>
      <c r="O18" s="204"/>
      <c r="P18" s="204"/>
      <c r="Q18" s="221"/>
      <c r="R18" s="223"/>
      <c r="S18" s="204"/>
      <c r="T18" s="204"/>
      <c r="U18" s="204"/>
      <c r="V18" s="221"/>
      <c r="W18" s="354"/>
      <c r="X18" s="224"/>
      <c r="Y18" s="218"/>
    </row>
    <row r="19" spans="2:44" hidden="1" outlineLevel="1" collapsed="1" x14ac:dyDescent="0.25">
      <c r="B19" s="200" t="s">
        <v>198</v>
      </c>
      <c r="C19" s="225"/>
      <c r="D19" s="226"/>
      <c r="E19" s="222"/>
      <c r="F19" s="227"/>
      <c r="G19" s="221"/>
      <c r="H19" s="222"/>
      <c r="I19" s="223"/>
      <c r="J19" s="223"/>
      <c r="K19" s="223"/>
      <c r="L19" s="437"/>
      <c r="M19" s="223"/>
      <c r="N19" s="223"/>
      <c r="O19" s="223"/>
      <c r="P19" s="223"/>
      <c r="Q19" s="221"/>
      <c r="R19" s="223"/>
      <c r="S19" s="223"/>
      <c r="T19" s="223"/>
      <c r="U19" s="223"/>
      <c r="V19" s="221"/>
      <c r="W19" s="354"/>
      <c r="X19" s="224"/>
    </row>
    <row r="20" spans="2:44" ht="4.5" hidden="1" customHeight="1" outlineLevel="2" x14ac:dyDescent="0.25">
      <c r="B20" s="200"/>
      <c r="C20" s="225"/>
      <c r="D20" s="226"/>
      <c r="E20" s="222"/>
      <c r="F20" s="227"/>
      <c r="G20" s="221"/>
      <c r="H20" s="222"/>
      <c r="I20" s="223"/>
      <c r="J20" s="223"/>
      <c r="K20" s="223"/>
      <c r="L20" s="437"/>
      <c r="M20" s="223"/>
      <c r="N20" s="223"/>
      <c r="O20" s="223"/>
      <c r="P20" s="223"/>
      <c r="Q20" s="221"/>
      <c r="R20" s="223"/>
      <c r="S20" s="223"/>
      <c r="T20" s="223"/>
      <c r="U20" s="223"/>
      <c r="V20" s="221"/>
      <c r="W20" s="354"/>
      <c r="X20" s="224"/>
    </row>
    <row r="21" spans="2:44" hidden="1" outlineLevel="3" x14ac:dyDescent="0.25">
      <c r="B21" s="362" t="s">
        <v>199</v>
      </c>
      <c r="C21" s="225"/>
      <c r="D21" s="226"/>
      <c r="E21" s="222"/>
      <c r="F21" s="229"/>
      <c r="G21" s="230"/>
      <c r="H21" s="231">
        <v>0</v>
      </c>
      <c r="I21" s="232"/>
      <c r="J21" s="232"/>
      <c r="K21" s="232"/>
      <c r="L21" s="438"/>
      <c r="M21" s="233">
        <v>0.05</v>
      </c>
      <c r="N21" s="232"/>
      <c r="O21" s="232"/>
      <c r="P21" s="232"/>
      <c r="Q21" s="230"/>
      <c r="R21" s="233">
        <f>M21</f>
        <v>0.05</v>
      </c>
      <c r="S21" s="232"/>
      <c r="T21" s="232"/>
      <c r="U21" s="232"/>
      <c r="V21" s="230"/>
      <c r="W21" s="355"/>
      <c r="X21" s="211"/>
      <c r="Y21" s="215"/>
    </row>
    <row r="22" spans="2:44" s="202" customFormat="1" hidden="1" outlineLevel="2" collapsed="1" x14ac:dyDescent="0.25">
      <c r="B22" s="234" t="s">
        <v>200</v>
      </c>
      <c r="C22" s="204" t="s">
        <v>78</v>
      </c>
      <c r="D22" s="235"/>
      <c r="E22" s="217"/>
      <c r="F22" s="236">
        <f>[1]Sheet1!$G$30/4</f>
        <v>224588.32383066136</v>
      </c>
      <c r="G22" s="230">
        <f>SUM(E22:F22)</f>
        <v>224588.32383066136</v>
      </c>
      <c r="H22" s="237">
        <f>F22*(1+H21)</f>
        <v>224588.32383066136</v>
      </c>
      <c r="I22" s="238">
        <f>H22</f>
        <v>224588.32383066136</v>
      </c>
      <c r="J22" s="238">
        <f>I22</f>
        <v>224588.32383066136</v>
      </c>
      <c r="K22" s="238">
        <f>J22</f>
        <v>224588.32383066136</v>
      </c>
      <c r="L22" s="438">
        <f>SUM(H22:K22)</f>
        <v>898353.29532264546</v>
      </c>
      <c r="M22" s="232">
        <f>H22*(1+M21)</f>
        <v>235817.74002219446</v>
      </c>
      <c r="N22" s="239">
        <f>M22</f>
        <v>235817.74002219446</v>
      </c>
      <c r="O22" s="239">
        <f t="shared" ref="O22:P22" si="3">N22</f>
        <v>235817.74002219446</v>
      </c>
      <c r="P22" s="239">
        <f t="shared" si="3"/>
        <v>235817.74002219446</v>
      </c>
      <c r="Q22" s="230">
        <f>SUM(M22:P22)</f>
        <v>943270.96008877782</v>
      </c>
      <c r="R22" s="232">
        <f>M22*(1+R21)</f>
        <v>247608.6270233042</v>
      </c>
      <c r="S22" s="238">
        <f>R22</f>
        <v>247608.6270233042</v>
      </c>
      <c r="T22" s="238">
        <f>S22</f>
        <v>247608.6270233042</v>
      </c>
      <c r="U22" s="238">
        <f>T22</f>
        <v>247608.6270233042</v>
      </c>
      <c r="V22" s="230">
        <f>SUM(R22:U22)</f>
        <v>990434.50809321681</v>
      </c>
      <c r="W22" s="355">
        <f t="shared" ref="W22:W43" si="4">G22+L22+Q22+V22</f>
        <v>3056647.0873353016</v>
      </c>
      <c r="X22" s="211"/>
      <c r="Y22" s="780"/>
      <c r="Z22" s="780"/>
      <c r="AA22" s="780"/>
      <c r="AB22" s="780"/>
      <c r="AC22" s="780"/>
      <c r="AD22" s="780"/>
      <c r="AE22" s="780"/>
      <c r="AF22" s="780"/>
      <c r="AG22" s="780"/>
      <c r="AH22" s="780"/>
    </row>
    <row r="23" spans="2:44" s="202" customFormat="1" hidden="1" outlineLevel="3" x14ac:dyDescent="0.25">
      <c r="B23" s="362" t="s">
        <v>201</v>
      </c>
      <c r="C23" s="204"/>
      <c r="D23" s="235"/>
      <c r="E23" s="217"/>
      <c r="F23" s="240"/>
      <c r="G23" s="241"/>
      <c r="H23" s="231">
        <v>0</v>
      </c>
      <c r="I23" s="233"/>
      <c r="J23" s="233"/>
      <c r="K23" s="233"/>
      <c r="L23" s="439"/>
      <c r="M23" s="233">
        <v>0.05</v>
      </c>
      <c r="N23" s="233"/>
      <c r="O23" s="233"/>
      <c r="P23" s="233"/>
      <c r="Q23" s="241"/>
      <c r="R23" s="233">
        <f>M23</f>
        <v>0.05</v>
      </c>
      <c r="S23" s="233"/>
      <c r="T23" s="233"/>
      <c r="U23" s="233"/>
      <c r="V23" s="241"/>
      <c r="W23" s="356">
        <f t="shared" si="4"/>
        <v>0</v>
      </c>
      <c r="X23" s="233"/>
      <c r="Y23" s="215"/>
      <c r="Z23" s="215"/>
      <c r="AA23" s="215"/>
      <c r="AB23" s="215"/>
      <c r="AC23" s="215"/>
      <c r="AD23" s="215"/>
      <c r="AE23" s="215"/>
      <c r="AF23" s="215"/>
      <c r="AG23" s="215"/>
      <c r="AH23" s="215"/>
    </row>
    <row r="24" spans="2:44" s="202" customFormat="1" hidden="1" outlineLevel="2" collapsed="1" x14ac:dyDescent="0.25">
      <c r="B24" s="234" t="s">
        <v>202</v>
      </c>
      <c r="C24" s="204" t="s">
        <v>78</v>
      </c>
      <c r="D24" s="235"/>
      <c r="E24" s="217"/>
      <c r="F24" s="236">
        <f>[1]Sheet1!$K$32/4</f>
        <v>27955.075957601541</v>
      </c>
      <c r="G24" s="230">
        <f>SUM(E24:F24)</f>
        <v>27955.075957601541</v>
      </c>
      <c r="H24" s="237">
        <f>F24*(1+H23)</f>
        <v>27955.075957601541</v>
      </c>
      <c r="I24" s="238">
        <f>H24</f>
        <v>27955.075957601541</v>
      </c>
      <c r="J24" s="238">
        <f>I24</f>
        <v>27955.075957601541</v>
      </c>
      <c r="K24" s="238">
        <f>J24</f>
        <v>27955.075957601541</v>
      </c>
      <c r="L24" s="438">
        <f>SUM(H24:K24)</f>
        <v>111820.30383040616</v>
      </c>
      <c r="M24" s="232">
        <f>H24*(1+M23)</f>
        <v>29352.82975548162</v>
      </c>
      <c r="N24" s="239">
        <f t="shared" ref="N24:P27" si="5">M24</f>
        <v>29352.82975548162</v>
      </c>
      <c r="O24" s="239">
        <f t="shared" si="5"/>
        <v>29352.82975548162</v>
      </c>
      <c r="P24" s="239">
        <f t="shared" si="5"/>
        <v>29352.82975548162</v>
      </c>
      <c r="Q24" s="230">
        <f>SUM(M24:P24)</f>
        <v>117411.31902192648</v>
      </c>
      <c r="R24" s="232">
        <f>M24*(1+R23)</f>
        <v>30820.471243255703</v>
      </c>
      <c r="S24" s="238">
        <f>R24</f>
        <v>30820.471243255703</v>
      </c>
      <c r="T24" s="238">
        <f>S24</f>
        <v>30820.471243255703</v>
      </c>
      <c r="U24" s="238">
        <f>T24</f>
        <v>30820.471243255703</v>
      </c>
      <c r="V24" s="230">
        <f>SUM(R24:U24)</f>
        <v>123281.88497302281</v>
      </c>
      <c r="W24" s="355">
        <f t="shared" si="4"/>
        <v>380468.58378295699</v>
      </c>
      <c r="X24" s="211"/>
      <c r="Y24" s="780"/>
      <c r="Z24" s="780"/>
      <c r="AA24" s="780"/>
      <c r="AB24" s="780"/>
      <c r="AC24" s="780"/>
      <c r="AD24" s="780"/>
      <c r="AE24" s="780"/>
      <c r="AF24" s="780"/>
      <c r="AG24" s="780"/>
      <c r="AH24" s="780"/>
    </row>
    <row r="25" spans="2:44" s="202" customFormat="1" hidden="1" outlineLevel="3" x14ac:dyDescent="0.25">
      <c r="B25" s="362" t="s">
        <v>203</v>
      </c>
      <c r="C25" s="204"/>
      <c r="D25" s="235"/>
      <c r="E25" s="217"/>
      <c r="F25" s="240">
        <v>0.15</v>
      </c>
      <c r="G25" s="241">
        <f>F25</f>
        <v>0.15</v>
      </c>
      <c r="H25" s="231">
        <f t="shared" ref="H25:V25" si="6">G25</f>
        <v>0.15</v>
      </c>
      <c r="I25" s="233">
        <f t="shared" si="6"/>
        <v>0.15</v>
      </c>
      <c r="J25" s="233">
        <f t="shared" si="6"/>
        <v>0.15</v>
      </c>
      <c r="K25" s="233">
        <f t="shared" si="6"/>
        <v>0.15</v>
      </c>
      <c r="L25" s="439">
        <f t="shared" si="6"/>
        <v>0.15</v>
      </c>
      <c r="M25" s="233">
        <f t="shared" si="6"/>
        <v>0.15</v>
      </c>
      <c r="N25" s="233">
        <f t="shared" si="6"/>
        <v>0.15</v>
      </c>
      <c r="O25" s="233">
        <f t="shared" si="6"/>
        <v>0.15</v>
      </c>
      <c r="P25" s="233">
        <f t="shared" si="6"/>
        <v>0.15</v>
      </c>
      <c r="Q25" s="241">
        <f t="shared" si="6"/>
        <v>0.15</v>
      </c>
      <c r="R25" s="233">
        <f t="shared" si="6"/>
        <v>0.15</v>
      </c>
      <c r="S25" s="233">
        <f t="shared" si="6"/>
        <v>0.15</v>
      </c>
      <c r="T25" s="233">
        <f t="shared" si="6"/>
        <v>0.15</v>
      </c>
      <c r="U25" s="233">
        <f t="shared" si="6"/>
        <v>0.15</v>
      </c>
      <c r="V25" s="241">
        <f t="shared" si="6"/>
        <v>0.15</v>
      </c>
      <c r="W25" s="356">
        <f t="shared" si="4"/>
        <v>0.6</v>
      </c>
      <c r="X25" s="233"/>
      <c r="Y25" s="215"/>
      <c r="Z25" s="215"/>
      <c r="AA25" s="215"/>
      <c r="AB25" s="215"/>
      <c r="AC25" s="215"/>
      <c r="AD25" s="215"/>
      <c r="AE25" s="215"/>
      <c r="AF25" s="215"/>
      <c r="AG25" s="215"/>
      <c r="AH25" s="215"/>
    </row>
    <row r="26" spans="2:44" s="202" customFormat="1" hidden="1" outlineLevel="2" collapsed="1" x14ac:dyDescent="0.25">
      <c r="B26" s="234" t="s">
        <v>204</v>
      </c>
      <c r="C26" s="204" t="s">
        <v>78</v>
      </c>
      <c r="D26" s="235"/>
      <c r="E26" s="178"/>
      <c r="F26" s="238">
        <f>SUM(F22:F24)*$F$25</f>
        <v>37881.509968239436</v>
      </c>
      <c r="G26" s="230">
        <f>SUM(E26:F26)</f>
        <v>37881.509968239436</v>
      </c>
      <c r="H26" s="242">
        <f>SUM(H22:H24)*$F$25</f>
        <v>37881.509968239436</v>
      </c>
      <c r="I26" s="238">
        <f>SUM(I22:I24)*$F$25</f>
        <v>37881.509968239436</v>
      </c>
      <c r="J26" s="238">
        <f>SUM(J22:J24)*$F$25</f>
        <v>37881.509968239436</v>
      </c>
      <c r="K26" s="238">
        <f>SUM(K22:K24)*$F$25</f>
        <v>37881.509968239436</v>
      </c>
      <c r="L26" s="438">
        <f>SUM(H26:K26)</f>
        <v>151526.03987295774</v>
      </c>
      <c r="M26" s="238">
        <f>SUM(M22:M24)*$F$25</f>
        <v>39775.592966651406</v>
      </c>
      <c r="N26" s="239">
        <f t="shared" si="5"/>
        <v>39775.592966651406</v>
      </c>
      <c r="O26" s="239">
        <f t="shared" si="5"/>
        <v>39775.592966651406</v>
      </c>
      <c r="P26" s="239">
        <f t="shared" si="5"/>
        <v>39775.592966651406</v>
      </c>
      <c r="Q26" s="230">
        <f>SUM(M26:P26)</f>
        <v>159102.37186660562</v>
      </c>
      <c r="R26" s="238">
        <f>SUM(R22:R24)*$F$25</f>
        <v>41764.372239983983</v>
      </c>
      <c r="S26" s="238">
        <f>SUM(S22:S24)*$F$25</f>
        <v>41764.364739983983</v>
      </c>
      <c r="T26" s="238">
        <f>SUM(T22:T24)*$F$25</f>
        <v>41764.364739983983</v>
      </c>
      <c r="U26" s="238">
        <f>SUM(U22:U24)*$F$25</f>
        <v>41764.364739983983</v>
      </c>
      <c r="V26" s="230">
        <f>SUM(R26:U26)</f>
        <v>167057.46645993594</v>
      </c>
      <c r="W26" s="355">
        <f t="shared" si="4"/>
        <v>515567.38816773874</v>
      </c>
      <c r="X26" s="211"/>
    </row>
    <row r="27" spans="2:44" s="202" customFormat="1" hidden="1" outlineLevel="2" x14ac:dyDescent="0.25">
      <c r="B27" s="234" t="s">
        <v>205</v>
      </c>
      <c r="C27" s="204" t="s">
        <v>78</v>
      </c>
      <c r="D27" s="235"/>
      <c r="E27" s="217"/>
      <c r="F27" s="365">
        <f>((85000/18)*3)+(85000/36)*3</f>
        <v>21250</v>
      </c>
      <c r="G27" s="366">
        <f>SUM(E27:F27)</f>
        <v>21250</v>
      </c>
      <c r="H27" s="237">
        <f>F27</f>
        <v>21250</v>
      </c>
      <c r="I27" s="232">
        <f>H27</f>
        <v>21250</v>
      </c>
      <c r="J27" s="232">
        <f>I27</f>
        <v>21250</v>
      </c>
      <c r="K27" s="232">
        <f>J27</f>
        <v>21250</v>
      </c>
      <c r="L27" s="440">
        <f>SUM(H27:K27)</f>
        <v>85000</v>
      </c>
      <c r="M27" s="232">
        <f>K27</f>
        <v>21250</v>
      </c>
      <c r="N27" s="365">
        <f>(85000/36)*3</f>
        <v>7083.3333333333339</v>
      </c>
      <c r="O27" s="232">
        <f t="shared" si="5"/>
        <v>7083.3333333333339</v>
      </c>
      <c r="P27" s="232">
        <f t="shared" si="5"/>
        <v>7083.3333333333339</v>
      </c>
      <c r="Q27" s="364">
        <f>SUM(M27:P27)</f>
        <v>42500.000000000007</v>
      </c>
      <c r="R27" s="232">
        <f>N27</f>
        <v>7083.3333333333339</v>
      </c>
      <c r="S27" s="232">
        <f>R27</f>
        <v>7083.3333333333339</v>
      </c>
      <c r="T27" s="232">
        <f>S27</f>
        <v>7083.3333333333339</v>
      </c>
      <c r="U27" s="232"/>
      <c r="V27" s="364">
        <f t="shared" ref="V27:V42" si="7">SUM(R27:U27)</f>
        <v>21250</v>
      </c>
      <c r="W27" s="392">
        <f t="shared" si="4"/>
        <v>170000</v>
      </c>
      <c r="X27" s="211"/>
      <c r="Y27" s="780"/>
      <c r="Z27" s="780"/>
      <c r="AA27" s="780"/>
      <c r="AB27" s="780"/>
      <c r="AC27" s="780"/>
      <c r="AD27" s="780"/>
      <c r="AE27" s="780"/>
      <c r="AF27" s="780"/>
      <c r="AG27" s="780"/>
      <c r="AH27" s="780"/>
    </row>
    <row r="28" spans="2:44" s="202" customFormat="1" ht="14.45" hidden="1" customHeight="1" outlineLevel="2" x14ac:dyDescent="0.25">
      <c r="B28" s="234" t="s">
        <v>206</v>
      </c>
      <c r="C28" s="204" t="s">
        <v>78</v>
      </c>
      <c r="D28" s="235"/>
      <c r="E28" s="213"/>
      <c r="F28" s="243">
        <v>0</v>
      </c>
      <c r="G28" s="357">
        <f>SUM(E28:F28)</f>
        <v>0</v>
      </c>
      <c r="H28" s="244">
        <v>0</v>
      </c>
      <c r="I28" s="245">
        <v>0</v>
      </c>
      <c r="J28" s="245">
        <v>0</v>
      </c>
      <c r="K28" s="245">
        <v>0</v>
      </c>
      <c r="L28" s="441">
        <f>SUM(H28:K28)</f>
        <v>0</v>
      </c>
      <c r="M28" s="245">
        <v>0</v>
      </c>
      <c r="N28" s="245">
        <f>M28</f>
        <v>0</v>
      </c>
      <c r="O28" s="245">
        <f t="shared" ref="O28:P28" si="8">N28</f>
        <v>0</v>
      </c>
      <c r="P28" s="245">
        <f t="shared" si="8"/>
        <v>0</v>
      </c>
      <c r="Q28" s="207">
        <f t="shared" ref="Q28:Q42" si="9">SUM(M28:P28)</f>
        <v>0</v>
      </c>
      <c r="R28" s="245">
        <v>0</v>
      </c>
      <c r="S28" s="245">
        <v>0</v>
      </c>
      <c r="T28" s="245">
        <v>0</v>
      </c>
      <c r="U28" s="245">
        <v>0</v>
      </c>
      <c r="V28" s="207">
        <f t="shared" si="7"/>
        <v>0</v>
      </c>
      <c r="W28" s="340">
        <f t="shared" si="4"/>
        <v>0</v>
      </c>
      <c r="X28" s="211"/>
      <c r="Y28" s="246"/>
      <c r="Z28" s="216"/>
      <c r="AA28" s="215"/>
      <c r="AB28" s="215"/>
      <c r="AC28" s="215"/>
      <c r="AD28" s="215"/>
      <c r="AE28" s="215"/>
      <c r="AF28" s="215"/>
      <c r="AG28" s="215"/>
      <c r="AH28" s="215"/>
    </row>
    <row r="29" spans="2:44" s="202" customFormat="1" ht="14.45" hidden="1" customHeight="1" outlineLevel="1" collapsed="1" x14ac:dyDescent="0.25">
      <c r="B29" s="203" t="s">
        <v>207</v>
      </c>
      <c r="C29" s="204" t="s">
        <v>78</v>
      </c>
      <c r="D29" s="235"/>
      <c r="E29" s="217"/>
      <c r="F29" s="247">
        <f>SUM(F22:F28)</f>
        <v>311675.05975650233</v>
      </c>
      <c r="G29" s="230">
        <f>SUM(E29:F29)</f>
        <v>311675.05975650233</v>
      </c>
      <c r="H29" s="222">
        <f t="shared" ref="H29:V29" si="10">SUM(H22:H28)</f>
        <v>311675.05975650233</v>
      </c>
      <c r="I29" s="223">
        <f t="shared" si="10"/>
        <v>311675.05975650233</v>
      </c>
      <c r="J29" s="223">
        <f t="shared" si="10"/>
        <v>311675.05975650233</v>
      </c>
      <c r="K29" s="223">
        <f t="shared" si="10"/>
        <v>311675.05975650233</v>
      </c>
      <c r="L29" s="437">
        <f t="shared" si="10"/>
        <v>1246699.7890260094</v>
      </c>
      <c r="M29" s="223">
        <f t="shared" si="10"/>
        <v>326196.36274432752</v>
      </c>
      <c r="N29" s="204">
        <f t="shared" si="10"/>
        <v>312029.64607766084</v>
      </c>
      <c r="O29" s="204">
        <f t="shared" si="10"/>
        <v>312029.64607766084</v>
      </c>
      <c r="P29" s="204">
        <f t="shared" si="10"/>
        <v>312029.64607766084</v>
      </c>
      <c r="Q29" s="221">
        <f t="shared" si="10"/>
        <v>1262284.8009773099</v>
      </c>
      <c r="R29" s="223">
        <f t="shared" si="10"/>
        <v>327277.0038398772</v>
      </c>
      <c r="S29" s="204">
        <f t="shared" si="10"/>
        <v>327276.94633987721</v>
      </c>
      <c r="T29" s="204">
        <f t="shared" si="10"/>
        <v>327276.94633987721</v>
      </c>
      <c r="U29" s="204">
        <f t="shared" si="10"/>
        <v>320193.61300654389</v>
      </c>
      <c r="V29" s="221">
        <f t="shared" si="10"/>
        <v>1302024.0095261754</v>
      </c>
      <c r="W29" s="354">
        <f t="shared" si="4"/>
        <v>4122683.659285997</v>
      </c>
      <c r="X29" s="224"/>
      <c r="Y29" s="216"/>
      <c r="AI29" s="782" t="s">
        <v>241</v>
      </c>
      <c r="AJ29" s="782"/>
      <c r="AK29" s="782"/>
      <c r="AL29" s="782"/>
      <c r="AM29" s="782"/>
      <c r="AN29" s="782"/>
      <c r="AO29" s="782"/>
      <c r="AP29" s="782"/>
      <c r="AQ29" s="782"/>
      <c r="AR29" s="782"/>
    </row>
    <row r="30" spans="2:44" s="202" customFormat="1" hidden="1" outlineLevel="2" x14ac:dyDescent="0.25">
      <c r="B30" s="228" t="s">
        <v>208</v>
      </c>
      <c r="C30" s="204"/>
      <c r="D30" s="235"/>
      <c r="E30" s="217"/>
      <c r="F30" s="248">
        <f>5000/4</f>
        <v>1250</v>
      </c>
      <c r="G30" s="249">
        <f t="shared" ref="G30:G36" si="11">SUM(E30:F30)</f>
        <v>1250</v>
      </c>
      <c r="H30" s="250">
        <f>F30</f>
        <v>1250</v>
      </c>
      <c r="I30" s="251">
        <f>H30</f>
        <v>1250</v>
      </c>
      <c r="J30" s="251">
        <f>I30</f>
        <v>1250</v>
      </c>
      <c r="K30" s="251">
        <f>J30</f>
        <v>1250</v>
      </c>
      <c r="L30" s="437">
        <f t="shared" ref="L30:L42" si="12">SUM(H30:K30)</f>
        <v>5000</v>
      </c>
      <c r="M30" s="251">
        <f>H30</f>
        <v>1250</v>
      </c>
      <c r="N30" s="251">
        <f t="shared" ref="N30:P30" si="13">I30</f>
        <v>1250</v>
      </c>
      <c r="O30" s="251">
        <f t="shared" si="13"/>
        <v>1250</v>
      </c>
      <c r="P30" s="251">
        <f t="shared" si="13"/>
        <v>1250</v>
      </c>
      <c r="Q30" s="221">
        <f t="shared" si="9"/>
        <v>5000</v>
      </c>
      <c r="R30" s="251">
        <f>M30</f>
        <v>1250</v>
      </c>
      <c r="S30" s="251">
        <f t="shared" ref="S30:U30" si="14">N30</f>
        <v>1250</v>
      </c>
      <c r="T30" s="251">
        <f t="shared" si="14"/>
        <v>1250</v>
      </c>
      <c r="U30" s="251">
        <f t="shared" si="14"/>
        <v>1250</v>
      </c>
      <c r="V30" s="221">
        <f t="shared" si="7"/>
        <v>5000</v>
      </c>
      <c r="W30" s="354">
        <f t="shared" si="4"/>
        <v>16250</v>
      </c>
      <c r="X30" s="224"/>
      <c r="Y30" s="215"/>
      <c r="Z30" s="215"/>
      <c r="AA30" s="215"/>
      <c r="AB30" s="215"/>
      <c r="AC30" s="215"/>
      <c r="AD30" s="215"/>
      <c r="AE30" s="215"/>
      <c r="AF30" s="215"/>
      <c r="AG30" s="215"/>
      <c r="AH30" s="215"/>
    </row>
    <row r="31" spans="2:44" s="202" customFormat="1" hidden="1" outlineLevel="1" collapsed="1" x14ac:dyDescent="0.25">
      <c r="B31" s="203" t="s">
        <v>209</v>
      </c>
      <c r="C31" s="204" t="s">
        <v>238</v>
      </c>
      <c r="E31" s="217"/>
      <c r="F31" s="247">
        <f>F11*$F30</f>
        <v>17500</v>
      </c>
      <c r="G31" s="221">
        <f t="shared" si="11"/>
        <v>17500</v>
      </c>
      <c r="H31" s="222">
        <f>H11*$F30</f>
        <v>17500</v>
      </c>
      <c r="I31" s="223">
        <f>I11*$F30</f>
        <v>17500</v>
      </c>
      <c r="J31" s="223">
        <f>J11*$F30</f>
        <v>17500</v>
      </c>
      <c r="K31" s="223">
        <f>K11*$F30</f>
        <v>17500</v>
      </c>
      <c r="L31" s="437">
        <f t="shared" si="12"/>
        <v>70000</v>
      </c>
      <c r="M31" s="223">
        <f>M11*$F30</f>
        <v>17500</v>
      </c>
      <c r="N31" s="223">
        <f>N11*$F30</f>
        <v>17500</v>
      </c>
      <c r="O31" s="223">
        <f>O11*$F30</f>
        <v>17500</v>
      </c>
      <c r="P31" s="223">
        <f>P11*$F30</f>
        <v>17500</v>
      </c>
      <c r="Q31" s="221">
        <f t="shared" si="9"/>
        <v>70000</v>
      </c>
      <c r="R31" s="223">
        <f>R11*$F30</f>
        <v>17500</v>
      </c>
      <c r="S31" s="223">
        <f>S11*$F30</f>
        <v>17500</v>
      </c>
      <c r="T31" s="223">
        <f>T11*$F30</f>
        <v>17500</v>
      </c>
      <c r="U31" s="223">
        <f>U11*$F30</f>
        <v>17500</v>
      </c>
      <c r="V31" s="221">
        <f t="shared" si="7"/>
        <v>70000</v>
      </c>
      <c r="W31" s="354">
        <f t="shared" si="4"/>
        <v>227500</v>
      </c>
      <c r="X31" s="224"/>
      <c r="Z31" s="215"/>
      <c r="AA31" s="215"/>
      <c r="AB31" s="215"/>
      <c r="AC31" s="215"/>
      <c r="AD31" s="215"/>
      <c r="AE31" s="215"/>
      <c r="AF31" s="215"/>
      <c r="AG31" s="215"/>
      <c r="AH31" s="215"/>
    </row>
    <row r="32" spans="2:44" s="202" customFormat="1" ht="14.45" hidden="1" customHeight="1" outlineLevel="1" x14ac:dyDescent="0.25">
      <c r="B32" s="203" t="s">
        <v>210</v>
      </c>
      <c r="C32" s="204" t="s">
        <v>211</v>
      </c>
      <c r="E32" s="205"/>
      <c r="F32" s="252">
        <f>'8) Facilities'!I41</f>
        <v>22963</v>
      </c>
      <c r="G32" s="221">
        <f t="shared" si="11"/>
        <v>22963</v>
      </c>
      <c r="H32" s="222">
        <f>'8) Facilities'!J41/H13*H11</f>
        <v>95544.076923076922</v>
      </c>
      <c r="I32" s="223">
        <f>'8) Facilities'!K41/I13*I11</f>
        <v>95544.076923076922</v>
      </c>
      <c r="J32" s="223">
        <f>'8) Facilities'!L41/J13*J11</f>
        <v>77238</v>
      </c>
      <c r="K32" s="223">
        <f>'8) Facilities'!M41/K13*K11</f>
        <v>77238</v>
      </c>
      <c r="L32" s="437">
        <f t="shared" si="12"/>
        <v>345564.15384615387</v>
      </c>
      <c r="M32" s="254">
        <f>K32</f>
        <v>77238</v>
      </c>
      <c r="N32" s="254">
        <f>M32</f>
        <v>77238</v>
      </c>
      <c r="O32" s="254">
        <f t="shared" ref="O32:P32" si="15">M32</f>
        <v>77238</v>
      </c>
      <c r="P32" s="254">
        <f t="shared" si="15"/>
        <v>77238</v>
      </c>
      <c r="Q32" s="221">
        <f t="shared" si="9"/>
        <v>308952</v>
      </c>
      <c r="R32" s="253">
        <f>P32</f>
        <v>77238</v>
      </c>
      <c r="S32" s="254">
        <f>R32</f>
        <v>77238</v>
      </c>
      <c r="T32" s="254">
        <f t="shared" ref="T32:U32" si="16">R32</f>
        <v>77238</v>
      </c>
      <c r="U32" s="254">
        <f t="shared" si="16"/>
        <v>77238</v>
      </c>
      <c r="V32" s="221">
        <f t="shared" si="7"/>
        <v>308952</v>
      </c>
      <c r="W32" s="354">
        <f t="shared" si="4"/>
        <v>986431.15384615387</v>
      </c>
      <c r="X32" s="224"/>
      <c r="Y32" s="216"/>
      <c r="AB32" s="216"/>
      <c r="AC32" s="216"/>
      <c r="AD32" s="216"/>
      <c r="AE32" s="216"/>
      <c r="AF32" s="216"/>
      <c r="AG32" s="216"/>
      <c r="AH32" s="216"/>
    </row>
    <row r="33" spans="2:41" s="202" customFormat="1" hidden="1" outlineLevel="1" x14ac:dyDescent="0.25">
      <c r="B33" s="336" t="s">
        <v>246</v>
      </c>
      <c r="C33" s="204" t="s">
        <v>242</v>
      </c>
      <c r="E33" s="213">
        <f>'13) IT- Security'!$H$41</f>
        <v>43750</v>
      </c>
      <c r="F33" s="255"/>
      <c r="G33" s="210">
        <f t="shared" si="11"/>
        <v>43750</v>
      </c>
      <c r="H33" s="213"/>
      <c r="I33" s="214"/>
      <c r="J33" s="214"/>
      <c r="K33" s="214"/>
      <c r="L33" s="436">
        <f t="shared" si="12"/>
        <v>0</v>
      </c>
      <c r="M33" s="214">
        <f>J33</f>
        <v>0</v>
      </c>
      <c r="N33" s="214">
        <f>M33</f>
        <v>0</v>
      </c>
      <c r="O33" s="214">
        <f>N33</f>
        <v>0</v>
      </c>
      <c r="P33" s="214">
        <f t="shared" ref="P33:P35" si="17">M33</f>
        <v>0</v>
      </c>
      <c r="Q33" s="210">
        <f t="shared" si="9"/>
        <v>0</v>
      </c>
      <c r="R33" s="213">
        <f>M33</f>
        <v>0</v>
      </c>
      <c r="S33" s="214">
        <f>R33</f>
        <v>0</v>
      </c>
      <c r="T33" s="214">
        <f>S33</f>
        <v>0</v>
      </c>
      <c r="U33" s="214">
        <f>S33</f>
        <v>0</v>
      </c>
      <c r="V33" s="210">
        <f t="shared" si="7"/>
        <v>0</v>
      </c>
      <c r="W33" s="341">
        <f t="shared" si="4"/>
        <v>43750</v>
      </c>
      <c r="X33" s="224"/>
      <c r="Y33" s="176"/>
      <c r="AA33" s="215"/>
    </row>
    <row r="34" spans="2:41" s="202" customFormat="1" hidden="1" outlineLevel="1" x14ac:dyDescent="0.25">
      <c r="B34" s="450" t="s">
        <v>299</v>
      </c>
      <c r="C34" s="204" t="s">
        <v>91</v>
      </c>
      <c r="E34" s="213"/>
      <c r="F34" s="255">
        <f>'11) IT-Infrastructure'!$I$41-F35</f>
        <v>90000</v>
      </c>
      <c r="G34" s="210">
        <f t="shared" si="11"/>
        <v>90000</v>
      </c>
      <c r="H34" s="213"/>
      <c r="I34" s="214"/>
      <c r="J34" s="214"/>
      <c r="K34" s="214"/>
      <c r="L34" s="436">
        <f t="shared" ref="L34" si="18">SUM(H34:K34)</f>
        <v>0</v>
      </c>
      <c r="M34" s="214">
        <f>J34</f>
        <v>0</v>
      </c>
      <c r="N34" s="214">
        <f>M34</f>
        <v>0</v>
      </c>
      <c r="O34" s="214">
        <f>N34</f>
        <v>0</v>
      </c>
      <c r="P34" s="214">
        <f t="shared" si="17"/>
        <v>0</v>
      </c>
      <c r="Q34" s="210">
        <f t="shared" ref="Q34" si="19">SUM(M34:P34)</f>
        <v>0</v>
      </c>
      <c r="R34" s="213">
        <f>M34</f>
        <v>0</v>
      </c>
      <c r="S34" s="214">
        <f>R34</f>
        <v>0</v>
      </c>
      <c r="T34" s="214">
        <f>S34</f>
        <v>0</v>
      </c>
      <c r="U34" s="214">
        <f>S34</f>
        <v>0</v>
      </c>
      <c r="V34" s="210">
        <f t="shared" ref="V34" si="20">SUM(R34:U34)</f>
        <v>0</v>
      </c>
      <c r="W34" s="341">
        <f t="shared" si="4"/>
        <v>90000</v>
      </c>
      <c r="X34" s="224"/>
      <c r="Y34" s="176"/>
      <c r="AA34" s="215"/>
    </row>
    <row r="35" spans="2:41" s="202" customFormat="1" hidden="1" outlineLevel="1" x14ac:dyDescent="0.25">
      <c r="B35" s="450" t="s">
        <v>300</v>
      </c>
      <c r="C35" s="204" t="s">
        <v>91</v>
      </c>
      <c r="E35" s="222"/>
      <c r="F35" s="252">
        <f>'11) IT-Infrastructure'!$I$31+'11) IT-Infrastructure'!I34</f>
        <v>20000</v>
      </c>
      <c r="G35" s="221">
        <f t="shared" si="11"/>
        <v>20000</v>
      </c>
      <c r="H35" s="252">
        <f>'11) IT-Infrastructure'!$I$31+'11) IT-Infrastructure'!K34</f>
        <v>10000</v>
      </c>
      <c r="I35" s="252">
        <f>'11) IT-Infrastructure'!$I$31+'11) IT-Infrastructure'!L34</f>
        <v>10000</v>
      </c>
      <c r="J35" s="252">
        <f>'11) IT-Infrastructure'!$I$31+'11) IT-Infrastructure'!M34</f>
        <v>20000</v>
      </c>
      <c r="K35" s="252">
        <f>'11) IT-Infrastructure'!$I$31+'11) IT-Infrastructure'!N34</f>
        <v>10000</v>
      </c>
      <c r="L35" s="437">
        <f t="shared" si="12"/>
        <v>50000</v>
      </c>
      <c r="M35" s="254">
        <f>K35</f>
        <v>10000</v>
      </c>
      <c r="N35" s="254">
        <f>M35</f>
        <v>10000</v>
      </c>
      <c r="O35" s="254">
        <f>N35</f>
        <v>10000</v>
      </c>
      <c r="P35" s="254">
        <f t="shared" si="17"/>
        <v>10000</v>
      </c>
      <c r="Q35" s="221">
        <f t="shared" si="9"/>
        <v>40000</v>
      </c>
      <c r="R35" s="253">
        <f>M35</f>
        <v>10000</v>
      </c>
      <c r="S35" s="254">
        <f>R35</f>
        <v>10000</v>
      </c>
      <c r="T35" s="254">
        <f>S35</f>
        <v>10000</v>
      </c>
      <c r="U35" s="254">
        <f>S35</f>
        <v>10000</v>
      </c>
      <c r="V35" s="221">
        <f t="shared" si="7"/>
        <v>40000</v>
      </c>
      <c r="W35" s="354">
        <f t="shared" si="4"/>
        <v>150000</v>
      </c>
      <c r="X35" s="224"/>
      <c r="Y35" s="216"/>
    </row>
    <row r="36" spans="2:41" s="202" customFormat="1" hidden="1" outlineLevel="1" x14ac:dyDescent="0.25">
      <c r="B36" s="203" t="s">
        <v>216</v>
      </c>
      <c r="C36" s="204" t="s">
        <v>124</v>
      </c>
      <c r="E36" s="208"/>
      <c r="F36" s="255">
        <f>15000+30000</f>
        <v>45000</v>
      </c>
      <c r="G36" s="210">
        <f t="shared" si="11"/>
        <v>45000</v>
      </c>
      <c r="H36" s="213"/>
      <c r="I36" s="214"/>
      <c r="J36" s="214"/>
      <c r="K36" s="214"/>
      <c r="L36" s="436">
        <f t="shared" si="12"/>
        <v>0</v>
      </c>
      <c r="M36" s="214"/>
      <c r="N36" s="214"/>
      <c r="O36" s="214"/>
      <c r="P36" s="214"/>
      <c r="Q36" s="210">
        <f t="shared" si="9"/>
        <v>0</v>
      </c>
      <c r="R36" s="214"/>
      <c r="S36" s="214"/>
      <c r="T36" s="214"/>
      <c r="U36" s="214"/>
      <c r="V36" s="210">
        <f t="shared" si="7"/>
        <v>0</v>
      </c>
      <c r="W36" s="341">
        <f t="shared" si="4"/>
        <v>45000</v>
      </c>
      <c r="X36" s="224"/>
      <c r="Y36" s="218"/>
    </row>
    <row r="37" spans="2:41" s="202" customFormat="1" hidden="1" outlineLevel="1" x14ac:dyDescent="0.25">
      <c r="B37" s="450" t="s">
        <v>301</v>
      </c>
      <c r="C37" s="204" t="s">
        <v>76</v>
      </c>
      <c r="E37" s="208"/>
      <c r="F37" s="255">
        <v>425000</v>
      </c>
      <c r="G37" s="210">
        <f>SUM(E37:F37)</f>
        <v>425000</v>
      </c>
      <c r="H37" s="213"/>
      <c r="I37" s="214"/>
      <c r="J37" s="214"/>
      <c r="K37" s="214"/>
      <c r="L37" s="436">
        <f t="shared" si="12"/>
        <v>0</v>
      </c>
      <c r="M37" s="214"/>
      <c r="N37" s="214"/>
      <c r="O37" s="214"/>
      <c r="P37" s="214"/>
      <c r="Q37" s="210">
        <f t="shared" si="9"/>
        <v>0</v>
      </c>
      <c r="R37" s="214"/>
      <c r="S37" s="214"/>
      <c r="T37" s="214"/>
      <c r="U37" s="214"/>
      <c r="V37" s="210">
        <f t="shared" si="7"/>
        <v>0</v>
      </c>
      <c r="W37" s="341">
        <f t="shared" si="4"/>
        <v>425000</v>
      </c>
      <c r="X37" s="224"/>
      <c r="Y37" s="216"/>
    </row>
    <row r="38" spans="2:41" s="202" customFormat="1" hidden="1" outlineLevel="1" x14ac:dyDescent="0.25">
      <c r="B38" s="450" t="s">
        <v>303</v>
      </c>
      <c r="C38" s="204" t="s">
        <v>219</v>
      </c>
      <c r="E38" s="205"/>
      <c r="F38" s="252">
        <f>'2) SW Eng'!$I$41</f>
        <v>25564.375</v>
      </c>
      <c r="G38" s="256">
        <f t="shared" ref="G38:G40" si="21">SUM(E38:F38)</f>
        <v>25564.375</v>
      </c>
      <c r="H38" s="222">
        <f>'2) SW Eng'!J41</f>
        <v>19164.375</v>
      </c>
      <c r="I38" s="222">
        <f>'2) SW Eng'!K41</f>
        <v>19164.375</v>
      </c>
      <c r="J38" s="222">
        <f>'2) SW Eng'!L41</f>
        <v>19414.375</v>
      </c>
      <c r="K38" s="222">
        <f>'2) SW Eng'!M41</f>
        <v>6914.375</v>
      </c>
      <c r="L38" s="442">
        <f>SUM(H38:K38)</f>
        <v>64657.5</v>
      </c>
      <c r="M38" s="223">
        <f>'2) SW Eng'!N41</f>
        <v>3500</v>
      </c>
      <c r="N38" s="222">
        <f>'2) SW Eng'!O41</f>
        <v>3500</v>
      </c>
      <c r="O38" s="222">
        <f>'2) SW Eng'!P41</f>
        <v>3500</v>
      </c>
      <c r="P38" s="222">
        <f>'2) SW Eng'!Q41</f>
        <v>3500</v>
      </c>
      <c r="Q38" s="256">
        <f>SUM(M38:P38)</f>
        <v>14000</v>
      </c>
      <c r="R38" s="223">
        <f>'2) SW Eng'!P41</f>
        <v>3500</v>
      </c>
      <c r="S38" s="223">
        <f>'2) SW Eng'!Q41</f>
        <v>3500</v>
      </c>
      <c r="T38" s="223">
        <f>'2) SW Eng'!R41</f>
        <v>3500</v>
      </c>
      <c r="U38" s="223">
        <f>'2) SW Eng'!S41</f>
        <v>3500</v>
      </c>
      <c r="V38" s="256">
        <f>SUM(R38:U38)</f>
        <v>14000</v>
      </c>
      <c r="W38" s="350">
        <f t="shared" si="4"/>
        <v>118221.875</v>
      </c>
      <c r="X38" s="224"/>
      <c r="Y38" s="216"/>
    </row>
    <row r="39" spans="2:41" s="202" customFormat="1" hidden="1" outlineLevel="1" x14ac:dyDescent="0.25">
      <c r="B39" s="203" t="s">
        <v>106</v>
      </c>
      <c r="C39" s="204" t="s">
        <v>107</v>
      </c>
      <c r="E39" s="223">
        <f>'14) Operations'!$H$41</f>
        <v>0</v>
      </c>
      <c r="F39" s="252">
        <f>E39</f>
        <v>0</v>
      </c>
      <c r="G39" s="256">
        <f t="shared" si="21"/>
        <v>0</v>
      </c>
      <c r="H39" s="222">
        <f>E39</f>
        <v>0</v>
      </c>
      <c r="I39" s="223">
        <f>H39</f>
        <v>0</v>
      </c>
      <c r="J39" s="223"/>
      <c r="K39" s="223"/>
      <c r="L39" s="442">
        <f>SUM(H39:K39)</f>
        <v>0</v>
      </c>
      <c r="M39" s="223"/>
      <c r="N39" s="223"/>
      <c r="O39" s="223"/>
      <c r="P39" s="223"/>
      <c r="Q39" s="256">
        <f>SUM(M39:P39)</f>
        <v>0</v>
      </c>
      <c r="R39" s="223"/>
      <c r="S39" s="223"/>
      <c r="T39" s="223"/>
      <c r="U39" s="223"/>
      <c r="V39" s="256">
        <f>SUM(R39:U39)</f>
        <v>0</v>
      </c>
      <c r="W39" s="350">
        <f t="shared" si="4"/>
        <v>0</v>
      </c>
      <c r="X39" s="224"/>
      <c r="Y39" s="216"/>
    </row>
    <row r="40" spans="2:41" s="202" customFormat="1" hidden="1" outlineLevel="1" x14ac:dyDescent="0.25">
      <c r="B40" s="450" t="s">
        <v>305</v>
      </c>
      <c r="C40" s="204" t="s">
        <v>221</v>
      </c>
      <c r="E40" s="217"/>
      <c r="F40" s="247"/>
      <c r="G40" s="221">
        <f t="shared" si="21"/>
        <v>0</v>
      </c>
      <c r="H40" s="222"/>
      <c r="I40" s="204">
        <v>12000</v>
      </c>
      <c r="J40" s="204"/>
      <c r="K40" s="204"/>
      <c r="L40" s="437">
        <f>SUM(H40:K40)</f>
        <v>12000</v>
      </c>
      <c r="M40" s="254"/>
      <c r="N40" s="254">
        <f>I40</f>
        <v>12000</v>
      </c>
      <c r="O40" s="254"/>
      <c r="P40" s="254"/>
      <c r="Q40" s="221">
        <f>SUM(M40:P40)</f>
        <v>12000</v>
      </c>
      <c r="R40" s="253"/>
      <c r="S40" s="254">
        <f>I40</f>
        <v>12000</v>
      </c>
      <c r="T40" s="254"/>
      <c r="U40" s="254"/>
      <c r="V40" s="221">
        <f>SUM(R40:U40)</f>
        <v>12000</v>
      </c>
      <c r="W40" s="354">
        <f t="shared" si="4"/>
        <v>36000</v>
      </c>
      <c r="X40" s="224"/>
      <c r="Y40" s="216"/>
    </row>
    <row r="41" spans="2:41" s="202" customFormat="1" hidden="1" outlineLevel="1" x14ac:dyDescent="0.25">
      <c r="B41" s="360" t="s">
        <v>267</v>
      </c>
      <c r="C41" s="361" t="s">
        <v>75</v>
      </c>
      <c r="E41" s="217"/>
      <c r="F41" s="247">
        <f>7500000*50%*0.2%</f>
        <v>7500</v>
      </c>
      <c r="G41" s="221">
        <f t="shared" ref="G41" si="22">SUM(E41:F41)</f>
        <v>7500</v>
      </c>
      <c r="H41" s="222"/>
      <c r="I41" s="204"/>
      <c r="J41" s="204"/>
      <c r="K41" s="204"/>
      <c r="L41" s="437">
        <f>SUM(H41:K41)</f>
        <v>0</v>
      </c>
      <c r="M41" s="223"/>
      <c r="N41" s="223">
        <f>I41</f>
        <v>0</v>
      </c>
      <c r="O41" s="223"/>
      <c r="P41" s="223"/>
      <c r="Q41" s="221">
        <f>SUM(M41:P41)</f>
        <v>0</v>
      </c>
      <c r="R41" s="222"/>
      <c r="S41" s="223">
        <f>I41</f>
        <v>0</v>
      </c>
      <c r="T41" s="223"/>
      <c r="U41" s="223"/>
      <c r="V41" s="221">
        <f>SUM(R41:U41)</f>
        <v>0</v>
      </c>
      <c r="W41" s="354">
        <f t="shared" si="4"/>
        <v>7500</v>
      </c>
      <c r="X41" s="224"/>
      <c r="Y41" s="444"/>
      <c r="Z41" s="444"/>
      <c r="AA41" s="444"/>
      <c r="AB41" s="444"/>
      <c r="AC41" s="444"/>
      <c r="AD41" s="444"/>
      <c r="AE41" s="444"/>
      <c r="AF41" s="444"/>
      <c r="AG41" s="444"/>
      <c r="AH41" s="444"/>
      <c r="AI41" s="444"/>
      <c r="AJ41" s="444"/>
      <c r="AK41" s="444"/>
      <c r="AL41" s="444"/>
      <c r="AM41" s="444"/>
      <c r="AN41" s="444"/>
      <c r="AO41" s="444"/>
    </row>
    <row r="42" spans="2:41" s="202" customFormat="1" hidden="1" outlineLevel="1" x14ac:dyDescent="0.25">
      <c r="B42" s="203" t="s">
        <v>222</v>
      </c>
      <c r="C42" s="204"/>
      <c r="E42" s="178"/>
      <c r="F42" s="247">
        <v>25000</v>
      </c>
      <c r="G42" s="221">
        <f>SUM(E42:F42)</f>
        <v>25000</v>
      </c>
      <c r="H42" s="222">
        <f>F42</f>
        <v>25000</v>
      </c>
      <c r="I42" s="204">
        <f t="shared" ref="I42:K42" si="23">G42</f>
        <v>25000</v>
      </c>
      <c r="J42" s="204">
        <f t="shared" si="23"/>
        <v>25000</v>
      </c>
      <c r="K42" s="204">
        <f t="shared" si="23"/>
        <v>25000</v>
      </c>
      <c r="L42" s="437">
        <f t="shared" si="12"/>
        <v>100000</v>
      </c>
      <c r="M42" s="223">
        <f>H42</f>
        <v>25000</v>
      </c>
      <c r="N42" s="204">
        <f t="shared" ref="N42:P42" si="24">I42</f>
        <v>25000</v>
      </c>
      <c r="O42" s="204">
        <f t="shared" si="24"/>
        <v>25000</v>
      </c>
      <c r="P42" s="204">
        <f t="shared" si="24"/>
        <v>25000</v>
      </c>
      <c r="Q42" s="221">
        <f t="shared" si="9"/>
        <v>100000</v>
      </c>
      <c r="R42" s="223">
        <f>M42</f>
        <v>25000</v>
      </c>
      <c r="S42" s="204">
        <f t="shared" ref="S42:U42" si="25">N42</f>
        <v>25000</v>
      </c>
      <c r="T42" s="204">
        <f t="shared" si="25"/>
        <v>25000</v>
      </c>
      <c r="U42" s="204">
        <f t="shared" si="25"/>
        <v>25000</v>
      </c>
      <c r="V42" s="221">
        <f t="shared" si="7"/>
        <v>100000</v>
      </c>
      <c r="W42" s="354">
        <f t="shared" si="4"/>
        <v>325000</v>
      </c>
      <c r="X42" s="224"/>
      <c r="Y42" s="216"/>
    </row>
    <row r="43" spans="2:41" s="257" customFormat="1" hidden="1" outlineLevel="1" x14ac:dyDescent="0.25">
      <c r="B43" s="219" t="s">
        <v>224</v>
      </c>
      <c r="C43" s="258"/>
      <c r="E43" s="259"/>
      <c r="F43" s="260">
        <f>F29+F31+SUM(F32:F42)</f>
        <v>990202.43475650228</v>
      </c>
      <c r="G43" s="260">
        <f t="shared" ref="G43:V43" si="26">G29+G31+SUM(G32:G42)</f>
        <v>1033952.4347565023</v>
      </c>
      <c r="H43" s="261">
        <f t="shared" si="26"/>
        <v>478883.51167957927</v>
      </c>
      <c r="I43" s="259">
        <f t="shared" si="26"/>
        <v>490883.51167957927</v>
      </c>
      <c r="J43" s="259">
        <f t="shared" si="26"/>
        <v>470827.43475650233</v>
      </c>
      <c r="K43" s="259">
        <f t="shared" si="26"/>
        <v>448327.43475650233</v>
      </c>
      <c r="L43" s="443">
        <f t="shared" si="26"/>
        <v>1888921.4428721634</v>
      </c>
      <c r="M43" s="263">
        <f t="shared" si="26"/>
        <v>459434.36274432752</v>
      </c>
      <c r="N43" s="259">
        <f t="shared" si="26"/>
        <v>457267.64607766084</v>
      </c>
      <c r="O43" s="259">
        <f t="shared" si="26"/>
        <v>445267.64607766084</v>
      </c>
      <c r="P43" s="259">
        <f t="shared" si="26"/>
        <v>445267.64607766084</v>
      </c>
      <c r="Q43" s="262">
        <f t="shared" si="26"/>
        <v>1807236.8009773099</v>
      </c>
      <c r="R43" s="263">
        <f t="shared" si="26"/>
        <v>460515.0038398772</v>
      </c>
      <c r="S43" s="259">
        <f t="shared" si="26"/>
        <v>472514.94633987721</v>
      </c>
      <c r="T43" s="259">
        <f t="shared" si="26"/>
        <v>460514.94633987721</v>
      </c>
      <c r="U43" s="259">
        <f t="shared" si="26"/>
        <v>453431.61300654389</v>
      </c>
      <c r="V43" s="262">
        <f t="shared" si="26"/>
        <v>1846976.0095261754</v>
      </c>
      <c r="W43" s="297">
        <f t="shared" si="4"/>
        <v>6577086.688132151</v>
      </c>
      <c r="X43" s="263"/>
      <c r="Y43" s="264"/>
    </row>
    <row r="44" spans="2:41" s="195" customFormat="1" hidden="1" outlineLevel="1" collapsed="1" x14ac:dyDescent="0.25">
      <c r="B44" s="265" t="s">
        <v>247</v>
      </c>
      <c r="C44" s="266"/>
      <c r="D44" s="266"/>
      <c r="E44" s="267">
        <f>E22+E24+E26+E27+E28+E31+E32+E35+E36+E40+E38+E37+E42+E34+E39+E33+E16+E17</f>
        <v>43750</v>
      </c>
      <c r="F44" s="267">
        <f>F22+F24+F26+F27+F28+F31+F32+F35+F36+F40+F38+F37+F42+F34+F39+F33+F16+F17</f>
        <v>1246705.6847565025</v>
      </c>
      <c r="G44" s="267">
        <f t="shared" ref="G44:W44" si="27">G22+G24+G26+G27+G28+G31+G32+G35+G36+G40+G38+G37+G42+G34+G39+G33+G16+G17</f>
        <v>1290455.6847565025</v>
      </c>
      <c r="H44" s="267">
        <f t="shared" si="27"/>
        <v>478883.36167957931</v>
      </c>
      <c r="I44" s="267">
        <f t="shared" si="27"/>
        <v>490883.36167957931</v>
      </c>
      <c r="J44" s="267">
        <f t="shared" si="27"/>
        <v>470827.28475650237</v>
      </c>
      <c r="K44" s="267">
        <f t="shared" si="27"/>
        <v>448327.28475650237</v>
      </c>
      <c r="L44" s="268">
        <f t="shared" si="27"/>
        <v>1888921.2928721635</v>
      </c>
      <c r="M44" s="267">
        <f t="shared" si="27"/>
        <v>459434.16274432751</v>
      </c>
      <c r="N44" s="267">
        <f t="shared" si="27"/>
        <v>457267.49607766082</v>
      </c>
      <c r="O44" s="267">
        <f t="shared" si="27"/>
        <v>445267.49607766082</v>
      </c>
      <c r="P44" s="267">
        <f t="shared" si="27"/>
        <v>445267.49607766082</v>
      </c>
      <c r="Q44" s="267">
        <f t="shared" si="27"/>
        <v>1807236.65097731</v>
      </c>
      <c r="R44" s="267">
        <f t="shared" si="27"/>
        <v>460514.80383987719</v>
      </c>
      <c r="S44" s="267">
        <f t="shared" si="27"/>
        <v>472514.79633987718</v>
      </c>
      <c r="T44" s="267">
        <f t="shared" si="27"/>
        <v>460514.79633987718</v>
      </c>
      <c r="U44" s="267">
        <f t="shared" si="27"/>
        <v>453431.46300654387</v>
      </c>
      <c r="V44" s="267">
        <f t="shared" si="27"/>
        <v>1846975.8595261755</v>
      </c>
      <c r="W44" s="267">
        <f t="shared" si="27"/>
        <v>6833589.4881321518</v>
      </c>
      <c r="X44" s="263"/>
      <c r="Y44" s="176"/>
    </row>
    <row r="45" spans="2:41" s="195" customFormat="1" hidden="1" outlineLevel="2" x14ac:dyDescent="0.25">
      <c r="B45" s="269" t="s">
        <v>225</v>
      </c>
      <c r="C45" s="201"/>
      <c r="D45" s="201"/>
      <c r="E45" s="224"/>
      <c r="F45" s="224"/>
      <c r="G45" s="270">
        <f>G44</f>
        <v>1290455.6847565025</v>
      </c>
      <c r="H45" s="224"/>
      <c r="I45" s="224"/>
      <c r="J45" s="224"/>
      <c r="K45" s="224"/>
      <c r="L45" s="389">
        <f>L44</f>
        <v>1888921.2928721635</v>
      </c>
      <c r="M45" s="224"/>
      <c r="N45" s="224"/>
      <c r="O45" s="224"/>
      <c r="P45" s="224"/>
      <c r="Q45" s="270">
        <f>Q44</f>
        <v>1807236.65097731</v>
      </c>
      <c r="R45" s="224"/>
      <c r="S45" s="224"/>
      <c r="T45" s="224"/>
      <c r="U45" s="224"/>
      <c r="V45" s="270">
        <f>V44</f>
        <v>1846975.8595261755</v>
      </c>
      <c r="W45" s="271">
        <f>(G45+L45+Q45+V45)-W44</f>
        <v>0</v>
      </c>
      <c r="X45" s="272"/>
      <c r="Y45" s="176"/>
    </row>
    <row r="46" spans="2:41" s="195" customFormat="1" hidden="1" outlineLevel="1" x14ac:dyDescent="0.25">
      <c r="B46" s="269"/>
      <c r="C46" s="201"/>
      <c r="D46" s="201"/>
      <c r="E46" s="224"/>
      <c r="F46" s="224"/>
      <c r="G46" s="270"/>
      <c r="H46" s="224"/>
      <c r="I46" s="224"/>
      <c r="J46" s="224"/>
      <c r="K46" s="224"/>
      <c r="L46" s="389"/>
      <c r="M46" s="224"/>
      <c r="N46" s="224"/>
      <c r="O46" s="224"/>
      <c r="P46" s="224"/>
      <c r="Q46" s="270"/>
      <c r="R46" s="224"/>
      <c r="S46" s="224"/>
      <c r="T46" s="224"/>
      <c r="U46" s="224"/>
      <c r="V46" s="270"/>
      <c r="W46" s="271"/>
      <c r="X46" s="272"/>
      <c r="Y46" s="176"/>
    </row>
    <row r="47" spans="2:41" s="195" customFormat="1" hidden="1" outlineLevel="1" x14ac:dyDescent="0.25">
      <c r="B47" s="269"/>
      <c r="C47" s="201"/>
      <c r="D47" s="201"/>
      <c r="E47" s="224"/>
      <c r="F47" s="333"/>
      <c r="G47" s="270"/>
      <c r="H47" s="333"/>
      <c r="I47" s="333"/>
      <c r="J47" s="333"/>
      <c r="K47" s="333"/>
      <c r="L47" s="389"/>
      <c r="M47" s="333">
        <v>0.05</v>
      </c>
      <c r="N47" s="333"/>
      <c r="O47" s="333"/>
      <c r="P47" s="333"/>
      <c r="Q47" s="270"/>
      <c r="R47" s="333">
        <v>0.05</v>
      </c>
      <c r="S47" s="333"/>
      <c r="T47" s="333"/>
      <c r="U47" s="333"/>
      <c r="V47" s="270"/>
      <c r="W47" s="271"/>
      <c r="X47" s="272"/>
      <c r="Y47" s="176"/>
    </row>
    <row r="48" spans="2:41" s="218" customFormat="1" hidden="1" outlineLevel="3" collapsed="1" x14ac:dyDescent="0.25">
      <c r="B48" s="234" t="s">
        <v>226</v>
      </c>
      <c r="C48" s="273"/>
      <c r="D48" s="274"/>
      <c r="E48" s="275"/>
      <c r="F48" s="276">
        <f>((650000*0.12755)*F12)/4</f>
        <v>124361.25</v>
      </c>
      <c r="G48" s="230">
        <f t="shared" ref="G48:G56" si="28">SUM(E48:F48)</f>
        <v>124361.25</v>
      </c>
      <c r="H48" s="276">
        <f>((650000*0.12755)*H12)/4</f>
        <v>248722.5</v>
      </c>
      <c r="I48" s="276">
        <f>((650000*0.12755)*I12)/4</f>
        <v>248722.5</v>
      </c>
      <c r="J48" s="276">
        <f>((650000*0.12755)*J12)/4</f>
        <v>290176.25</v>
      </c>
      <c r="K48" s="276">
        <f>((650000*0.12755)*K12)/4</f>
        <v>290176.25</v>
      </c>
      <c r="L48" s="438">
        <f>SUM(H48:K48)</f>
        <v>1077797.5</v>
      </c>
      <c r="M48" s="276">
        <f>K48*(1+M47)</f>
        <v>304685.0625</v>
      </c>
      <c r="N48" s="276">
        <f t="shared" ref="N48:P49" si="29">M48</f>
        <v>304685.0625</v>
      </c>
      <c r="O48" s="276">
        <f t="shared" si="29"/>
        <v>304685.0625</v>
      </c>
      <c r="P48" s="276">
        <f t="shared" si="29"/>
        <v>304685.0625</v>
      </c>
      <c r="Q48" s="230">
        <f>SUM(M48:P48)</f>
        <v>1218740.25</v>
      </c>
      <c r="R48" s="276">
        <f>P48*(1+R47)</f>
        <v>319919.31562499999</v>
      </c>
      <c r="S48" s="276">
        <f t="shared" ref="S48:U49" si="30">R48</f>
        <v>319919.31562499999</v>
      </c>
      <c r="T48" s="276">
        <f t="shared" si="30"/>
        <v>319919.31562499999</v>
      </c>
      <c r="U48" s="276">
        <f t="shared" si="30"/>
        <v>319919.31562499999</v>
      </c>
      <c r="V48" s="230">
        <f>SUM(R48:U48)</f>
        <v>1279677.2625</v>
      </c>
      <c r="W48" s="271">
        <f>G48+L48+Q48+V48</f>
        <v>3700576.2625000002</v>
      </c>
      <c r="X48" s="272"/>
      <c r="Y48" s="454"/>
      <c r="Z48" s="459">
        <f>(L48-L22)/L22</f>
        <v>0.19974792279568226</v>
      </c>
      <c r="AA48" s="367"/>
      <c r="AB48" s="367"/>
      <c r="AC48" s="367"/>
      <c r="AD48" s="367"/>
      <c r="AE48" s="367"/>
      <c r="AF48" s="367"/>
      <c r="AG48" s="367"/>
      <c r="AH48" s="367"/>
    </row>
    <row r="49" spans="2:35" s="218" customFormat="1" hidden="1" outlineLevel="4" x14ac:dyDescent="0.25">
      <c r="B49" s="362" t="s">
        <v>269</v>
      </c>
      <c r="C49" s="273"/>
      <c r="D49" s="274"/>
      <c r="E49" s="275"/>
      <c r="F49" s="363">
        <v>0.1</v>
      </c>
      <c r="G49" s="230"/>
      <c r="H49" s="363">
        <f>F49</f>
        <v>0.1</v>
      </c>
      <c r="I49" s="363">
        <f>H49</f>
        <v>0.1</v>
      </c>
      <c r="J49" s="363">
        <f t="shared" ref="J49:K49" si="31">I49</f>
        <v>0.1</v>
      </c>
      <c r="K49" s="363">
        <f t="shared" si="31"/>
        <v>0.1</v>
      </c>
      <c r="L49" s="438"/>
      <c r="M49" s="363">
        <f>K49</f>
        <v>0.1</v>
      </c>
      <c r="N49" s="363">
        <f t="shared" si="29"/>
        <v>0.1</v>
      </c>
      <c r="O49" s="363">
        <f t="shared" si="29"/>
        <v>0.1</v>
      </c>
      <c r="P49" s="363">
        <f t="shared" si="29"/>
        <v>0.1</v>
      </c>
      <c r="Q49" s="230"/>
      <c r="R49" s="363">
        <f>M49</f>
        <v>0.1</v>
      </c>
      <c r="S49" s="363">
        <f t="shared" si="30"/>
        <v>0.1</v>
      </c>
      <c r="T49" s="363">
        <f t="shared" si="30"/>
        <v>0.1</v>
      </c>
      <c r="U49" s="363">
        <f t="shared" si="30"/>
        <v>0.1</v>
      </c>
      <c r="V49" s="230"/>
      <c r="W49" s="271"/>
      <c r="X49" s="272"/>
      <c r="Y49" s="358"/>
      <c r="Z49" s="358"/>
      <c r="AA49" s="358"/>
      <c r="AB49" s="358"/>
      <c r="AC49" s="358"/>
      <c r="AD49" s="358"/>
      <c r="AE49" s="358"/>
      <c r="AF49" s="358"/>
      <c r="AG49" s="358"/>
      <c r="AH49" s="358"/>
      <c r="AI49" s="195"/>
    </row>
    <row r="50" spans="2:35" s="218" customFormat="1" hidden="1" outlineLevel="3" collapsed="1" x14ac:dyDescent="0.25">
      <c r="B50" s="234" t="s">
        <v>202</v>
      </c>
      <c r="C50" s="273"/>
      <c r="D50" s="274"/>
      <c r="E50" s="277"/>
      <c r="F50" s="455">
        <f>F48*F49</f>
        <v>12436.125</v>
      </c>
      <c r="G50" s="230">
        <f t="shared" si="28"/>
        <v>12436.125</v>
      </c>
      <c r="H50" s="276">
        <f>H48*H49</f>
        <v>24872.25</v>
      </c>
      <c r="I50" s="276">
        <f>I48*I49</f>
        <v>24872.25</v>
      </c>
      <c r="J50" s="276">
        <f>J48*J49</f>
        <v>29017.625</v>
      </c>
      <c r="K50" s="276">
        <f>K48*K49</f>
        <v>29017.625</v>
      </c>
      <c r="L50" s="438">
        <f t="shared" ref="L50:L52" si="32">SUM(H50:K50)</f>
        <v>107779.75</v>
      </c>
      <c r="M50" s="276">
        <f>M48*M49</f>
        <v>30468.506250000002</v>
      </c>
      <c r="N50" s="276">
        <f>N48*N49</f>
        <v>30468.506250000002</v>
      </c>
      <c r="O50" s="276">
        <f>O48*O49</f>
        <v>30468.506250000002</v>
      </c>
      <c r="P50" s="276">
        <f>P48*P49</f>
        <v>30468.506250000002</v>
      </c>
      <c r="Q50" s="230">
        <f t="shared" ref="Q50:Q52" si="33">SUM(M50:P50)</f>
        <v>121874.02500000001</v>
      </c>
      <c r="R50" s="276">
        <f>R48*R49</f>
        <v>31991.931562500002</v>
      </c>
      <c r="S50" s="276">
        <f>S48*S49</f>
        <v>31991.931562500002</v>
      </c>
      <c r="T50" s="276">
        <f>T48*T49</f>
        <v>31991.931562500002</v>
      </c>
      <c r="U50" s="276">
        <f>U48*U49</f>
        <v>31991.931562500002</v>
      </c>
      <c r="V50" s="230">
        <f t="shared" ref="V50:V52" si="34">SUM(R50:U50)</f>
        <v>127967.72625000001</v>
      </c>
      <c r="W50" s="271">
        <f>G50+L50+Q50+V50</f>
        <v>370057.62625000003</v>
      </c>
      <c r="X50" s="272"/>
      <c r="Y50" s="780"/>
      <c r="Z50" s="780"/>
      <c r="AA50" s="780"/>
      <c r="AB50" s="780"/>
      <c r="AC50" s="780"/>
      <c r="AD50" s="780"/>
      <c r="AE50" s="780"/>
      <c r="AF50" s="780"/>
      <c r="AG50" s="780"/>
      <c r="AH50" s="780"/>
    </row>
    <row r="51" spans="2:35" s="202" customFormat="1" hidden="1" outlineLevel="4" x14ac:dyDescent="0.25">
      <c r="B51" s="362" t="s">
        <v>203</v>
      </c>
      <c r="C51" s="204"/>
      <c r="D51" s="235"/>
      <c r="E51" s="217"/>
      <c r="F51" s="240">
        <v>0.15</v>
      </c>
      <c r="G51" s="241">
        <f>F51</f>
        <v>0.15</v>
      </c>
      <c r="H51" s="231">
        <f t="shared" ref="H51" si="35">G51</f>
        <v>0.15</v>
      </c>
      <c r="I51" s="233">
        <f t="shared" ref="I51" si="36">H51</f>
        <v>0.15</v>
      </c>
      <c r="J51" s="233">
        <f t="shared" ref="J51" si="37">I51</f>
        <v>0.15</v>
      </c>
      <c r="K51" s="233">
        <f t="shared" ref="K51" si="38">J51</f>
        <v>0.15</v>
      </c>
      <c r="L51" s="439">
        <f t="shared" ref="L51" si="39">K51</f>
        <v>0.15</v>
      </c>
      <c r="M51" s="233">
        <f t="shared" ref="M51" si="40">L51</f>
        <v>0.15</v>
      </c>
      <c r="N51" s="233">
        <f t="shared" ref="N51" si="41">M51</f>
        <v>0.15</v>
      </c>
      <c r="O51" s="233">
        <f t="shared" ref="O51" si="42">N51</f>
        <v>0.15</v>
      </c>
      <c r="P51" s="233">
        <f t="shared" ref="P51" si="43">O51</f>
        <v>0.15</v>
      </c>
      <c r="Q51" s="241">
        <f t="shared" ref="Q51" si="44">P51</f>
        <v>0.15</v>
      </c>
      <c r="R51" s="233">
        <f t="shared" ref="R51" si="45">Q51</f>
        <v>0.15</v>
      </c>
      <c r="S51" s="233">
        <f t="shared" ref="S51" si="46">R51</f>
        <v>0.15</v>
      </c>
      <c r="T51" s="233">
        <f t="shared" ref="T51" si="47">S51</f>
        <v>0.15</v>
      </c>
      <c r="U51" s="233">
        <f t="shared" ref="U51" si="48">T51</f>
        <v>0.15</v>
      </c>
      <c r="V51" s="241">
        <f t="shared" ref="V51" si="49">U51</f>
        <v>0.15</v>
      </c>
      <c r="W51" s="356">
        <f>G51+L51+Q51+V51</f>
        <v>0.6</v>
      </c>
      <c r="X51" s="233"/>
      <c r="Y51" s="358"/>
      <c r="Z51" s="358"/>
      <c r="AA51" s="358"/>
      <c r="AB51" s="358"/>
      <c r="AC51" s="358"/>
      <c r="AD51" s="358"/>
      <c r="AE51" s="358"/>
      <c r="AF51" s="358"/>
      <c r="AG51" s="358"/>
      <c r="AH51" s="358"/>
    </row>
    <row r="52" spans="2:35" s="218" customFormat="1" hidden="1" outlineLevel="3" collapsed="1" x14ac:dyDescent="0.25">
      <c r="B52" s="234" t="s">
        <v>204</v>
      </c>
      <c r="C52" s="273"/>
      <c r="D52" s="274"/>
      <c r="E52" s="278"/>
      <c r="F52" s="276">
        <f>SUM(F48:F50)*$F$51</f>
        <v>20519.62125</v>
      </c>
      <c r="G52" s="230">
        <f t="shared" si="28"/>
        <v>20519.62125</v>
      </c>
      <c r="H52" s="276">
        <f>SUM(H48:H50)*$F$51</f>
        <v>41039.227499999994</v>
      </c>
      <c r="I52" s="276">
        <f t="shared" ref="I52:O52" si="50">SUM(I48:I50)*$F$51</f>
        <v>41039.227499999994</v>
      </c>
      <c r="J52" s="276">
        <f t="shared" si="50"/>
        <v>47879.096249999995</v>
      </c>
      <c r="K52" s="276">
        <f t="shared" si="50"/>
        <v>47879.096249999995</v>
      </c>
      <c r="L52" s="438">
        <f t="shared" si="32"/>
        <v>177836.64749999999</v>
      </c>
      <c r="M52" s="276">
        <f t="shared" si="50"/>
        <v>50273.050312499989</v>
      </c>
      <c r="N52" s="276">
        <f t="shared" si="50"/>
        <v>50273.050312499989</v>
      </c>
      <c r="O52" s="276">
        <f t="shared" si="50"/>
        <v>50273.050312499989</v>
      </c>
      <c r="P52" s="276">
        <f>SUM(P48:P50)*$F$51</f>
        <v>50273.050312499989</v>
      </c>
      <c r="Q52" s="230">
        <f t="shared" si="33"/>
        <v>201092.20124999995</v>
      </c>
      <c r="R52" s="276">
        <f>SUM(R48:R50)*$F$51</f>
        <v>52786.702078124996</v>
      </c>
      <c r="S52" s="276">
        <f t="shared" ref="S52:U52" si="51">SUM(S48:S50)*$F$51</f>
        <v>52786.702078124996</v>
      </c>
      <c r="T52" s="276">
        <f t="shared" si="51"/>
        <v>52786.702078124996</v>
      </c>
      <c r="U52" s="276">
        <f t="shared" si="51"/>
        <v>52786.702078124996</v>
      </c>
      <c r="V52" s="230">
        <f t="shared" si="34"/>
        <v>211146.80831249998</v>
      </c>
      <c r="W52" s="271">
        <f>G52+L52+Q52+V52</f>
        <v>610595.27831249998</v>
      </c>
      <c r="X52" s="272"/>
      <c r="Y52" s="780"/>
      <c r="Z52" s="780"/>
      <c r="AA52" s="780"/>
      <c r="AB52" s="780"/>
      <c r="AC52" s="780"/>
      <c r="AD52" s="780"/>
      <c r="AE52" s="780"/>
      <c r="AF52" s="780"/>
      <c r="AG52" s="780"/>
      <c r="AH52" s="780"/>
    </row>
    <row r="53" spans="2:35" s="218" customFormat="1" hidden="1" outlineLevel="3" x14ac:dyDescent="0.25">
      <c r="B53" s="234" t="s">
        <v>228</v>
      </c>
      <c r="C53" s="273"/>
      <c r="D53" s="274"/>
      <c r="E53" s="278"/>
      <c r="F53" s="276">
        <f>((F48/F12)/3*2)*6</f>
        <v>82907.5</v>
      </c>
      <c r="G53" s="364">
        <f t="shared" si="28"/>
        <v>82907.5</v>
      </c>
      <c r="H53" s="276">
        <f>((H48/12)/3*2)*6</f>
        <v>82907.5</v>
      </c>
      <c r="I53" s="276"/>
      <c r="J53" s="276">
        <f>((J48/14)/3*2)*2</f>
        <v>27635.833333333332</v>
      </c>
      <c r="K53" s="276"/>
      <c r="L53" s="440">
        <f t="shared" ref="L53:L55" si="52">SUM(H53:K53)</f>
        <v>110543.33333333333</v>
      </c>
      <c r="M53" s="276"/>
      <c r="N53" s="276"/>
      <c r="O53" s="276"/>
      <c r="P53" s="276"/>
      <c r="Q53" s="364">
        <f t="shared" ref="Q53:Q56" si="53">SUM(M53:P53)</f>
        <v>0</v>
      </c>
      <c r="R53" s="276"/>
      <c r="S53" s="276"/>
      <c r="T53" s="276"/>
      <c r="U53" s="276"/>
      <c r="V53" s="364">
        <f t="shared" ref="V53:V56" si="54">SUM(R53:U53)</f>
        <v>0</v>
      </c>
      <c r="W53" s="393">
        <f>G53+L53+Q53+V53</f>
        <v>193450.83333333331</v>
      </c>
      <c r="X53" s="272"/>
      <c r="Y53" s="246"/>
      <c r="Z53" s="215"/>
      <c r="AA53" s="339"/>
      <c r="AB53" s="215"/>
      <c r="AC53" s="215"/>
      <c r="AD53" s="215"/>
      <c r="AE53" s="215"/>
      <c r="AF53" s="215"/>
      <c r="AG53" s="215"/>
      <c r="AH53" s="215"/>
    </row>
    <row r="54" spans="2:35" s="218" customFormat="1" ht="14.45" hidden="1" customHeight="1" outlineLevel="1" x14ac:dyDescent="0.25">
      <c r="B54" s="280" t="s">
        <v>207</v>
      </c>
      <c r="C54" s="273"/>
      <c r="D54" s="274"/>
      <c r="E54" s="272">
        <f t="shared" ref="E54:V54" si="55">SUM(E48:E53)</f>
        <v>0</v>
      </c>
      <c r="F54" s="247">
        <f t="shared" si="55"/>
        <v>240224.74625</v>
      </c>
      <c r="G54" s="221">
        <f t="shared" si="55"/>
        <v>240224.64624999999</v>
      </c>
      <c r="H54" s="222">
        <f t="shared" si="55"/>
        <v>397541.72749999998</v>
      </c>
      <c r="I54" s="223">
        <f t="shared" si="55"/>
        <v>314634.22749999998</v>
      </c>
      <c r="J54" s="223">
        <f t="shared" si="55"/>
        <v>394709.05458333332</v>
      </c>
      <c r="K54" s="223">
        <f t="shared" si="55"/>
        <v>367073.22125</v>
      </c>
      <c r="L54" s="437">
        <f t="shared" si="55"/>
        <v>1473957.3808333331</v>
      </c>
      <c r="M54" s="223">
        <f t="shared" si="55"/>
        <v>385426.86906249996</v>
      </c>
      <c r="N54" s="204">
        <f t="shared" si="55"/>
        <v>385426.86906249996</v>
      </c>
      <c r="O54" s="204">
        <f t="shared" si="55"/>
        <v>385426.86906249996</v>
      </c>
      <c r="P54" s="204">
        <f t="shared" si="55"/>
        <v>385426.86906249996</v>
      </c>
      <c r="Q54" s="221">
        <f t="shared" si="55"/>
        <v>1541706.6262499997</v>
      </c>
      <c r="R54" s="223">
        <f t="shared" si="55"/>
        <v>404698.19926562498</v>
      </c>
      <c r="S54" s="204">
        <f t="shared" si="55"/>
        <v>404698.19926562498</v>
      </c>
      <c r="T54" s="204">
        <f t="shared" si="55"/>
        <v>404698.19926562498</v>
      </c>
      <c r="U54" s="204">
        <f t="shared" si="55"/>
        <v>404698.19926562498</v>
      </c>
      <c r="V54" s="221">
        <f t="shared" si="55"/>
        <v>1618791.9470624998</v>
      </c>
      <c r="W54" s="354">
        <f>SUM(W48:W53)</f>
        <v>4874680.6003958331</v>
      </c>
      <c r="X54" s="224"/>
      <c r="Y54" s="216" t="s">
        <v>227</v>
      </c>
      <c r="Z54" s="216"/>
      <c r="AA54" s="216"/>
      <c r="AB54" s="216"/>
      <c r="AC54" s="216"/>
      <c r="AD54" s="216"/>
      <c r="AE54" s="216"/>
      <c r="AF54" s="216"/>
      <c r="AG54" s="216"/>
      <c r="AH54" s="216"/>
    </row>
    <row r="55" spans="2:35" s="218" customFormat="1" hidden="1" outlineLevel="2" x14ac:dyDescent="0.25">
      <c r="B55" s="280" t="s">
        <v>209</v>
      </c>
      <c r="C55" s="281"/>
      <c r="D55" s="274"/>
      <c r="E55" s="282"/>
      <c r="F55" s="276"/>
      <c r="G55" s="230">
        <f t="shared" si="28"/>
        <v>0</v>
      </c>
      <c r="H55" s="276">
        <f>H12*$F$30</f>
        <v>15000</v>
      </c>
      <c r="I55" s="276">
        <f>I12*$F$30</f>
        <v>15000</v>
      </c>
      <c r="J55" s="276">
        <f>J12*$F$30</f>
        <v>17500</v>
      </c>
      <c r="K55" s="276">
        <f>K12*$F$30</f>
        <v>17500</v>
      </c>
      <c r="L55" s="438">
        <f t="shared" si="52"/>
        <v>65000</v>
      </c>
      <c r="M55" s="276">
        <f>M12*$F$30</f>
        <v>17500</v>
      </c>
      <c r="N55" s="276">
        <f>N12*$F$30</f>
        <v>17500</v>
      </c>
      <c r="O55" s="276">
        <f>O12*$F$30</f>
        <v>17500</v>
      </c>
      <c r="P55" s="276">
        <f>P12*$F$30</f>
        <v>17500</v>
      </c>
      <c r="Q55" s="230">
        <f>SUM(M55:P55)</f>
        <v>70000</v>
      </c>
      <c r="R55" s="276">
        <f>R12*$F$30</f>
        <v>17500</v>
      </c>
      <c r="S55" s="276">
        <f>S12*$F$30</f>
        <v>17500</v>
      </c>
      <c r="T55" s="276">
        <f>T12*$F$30</f>
        <v>17500</v>
      </c>
      <c r="U55" s="276">
        <f>U12*$F$30</f>
        <v>17500</v>
      </c>
      <c r="V55" s="230">
        <f t="shared" si="54"/>
        <v>70000</v>
      </c>
      <c r="W55" s="271">
        <f t="shared" ref="W55:W60" si="56">G55+L55+Q55+V55</f>
        <v>205000</v>
      </c>
      <c r="X55" s="272"/>
    </row>
    <row r="56" spans="2:35" s="212" customFormat="1" hidden="1" outlineLevel="2" x14ac:dyDescent="0.25">
      <c r="B56" s="280" t="s">
        <v>229</v>
      </c>
      <c r="C56" s="283"/>
      <c r="D56" s="284"/>
      <c r="E56" s="283"/>
      <c r="F56" s="283"/>
      <c r="G56" s="221">
        <f t="shared" si="28"/>
        <v>0</v>
      </c>
      <c r="H56" s="222">
        <f>'8) Facilities'!J41-H32</f>
        <v>81894.923076923078</v>
      </c>
      <c r="I56" s="223">
        <f>'8) Facilities'!K41-I32</f>
        <v>81894.923076923078</v>
      </c>
      <c r="J56" s="223">
        <f>'8) Facilities'!L41-J32</f>
        <v>77238</v>
      </c>
      <c r="K56" s="223">
        <f>'8) Facilities'!M41-K32</f>
        <v>77238</v>
      </c>
      <c r="L56" s="271">
        <f>SUM(H56:K56)</f>
        <v>318265.84615384613</v>
      </c>
      <c r="M56" s="254">
        <f>K56</f>
        <v>77238</v>
      </c>
      <c r="N56" s="254">
        <f>M56</f>
        <v>77238</v>
      </c>
      <c r="O56" s="254">
        <f t="shared" ref="O56:P56" si="57">M56</f>
        <v>77238</v>
      </c>
      <c r="P56" s="254">
        <f t="shared" si="57"/>
        <v>77238</v>
      </c>
      <c r="Q56" s="285">
        <f t="shared" si="53"/>
        <v>308952</v>
      </c>
      <c r="R56" s="253">
        <f>M56</f>
        <v>77238</v>
      </c>
      <c r="S56" s="254">
        <f t="shared" ref="S56:U56" si="58">N56</f>
        <v>77238</v>
      </c>
      <c r="T56" s="254">
        <f t="shared" si="58"/>
        <v>77238</v>
      </c>
      <c r="U56" s="254">
        <f t="shared" si="58"/>
        <v>77238</v>
      </c>
      <c r="V56" s="285">
        <f t="shared" si="54"/>
        <v>308952</v>
      </c>
      <c r="W56" s="271">
        <f t="shared" si="56"/>
        <v>936169.84615384613</v>
      </c>
      <c r="X56" s="272"/>
    </row>
    <row r="57" spans="2:35" s="195" customFormat="1" hidden="1" outlineLevel="1" x14ac:dyDescent="0.25">
      <c r="B57" s="265" t="s">
        <v>248</v>
      </c>
      <c r="C57" s="266"/>
      <c r="D57" s="266"/>
      <c r="E57" s="267">
        <f>E54+E55+E56</f>
        <v>0</v>
      </c>
      <c r="F57" s="267">
        <f t="shared" ref="F57:V57" si="59">F54+F55+F56</f>
        <v>240224.74625</v>
      </c>
      <c r="G57" s="267">
        <f t="shared" si="59"/>
        <v>240224.64624999999</v>
      </c>
      <c r="H57" s="267">
        <f t="shared" si="59"/>
        <v>494436.65057692304</v>
      </c>
      <c r="I57" s="267">
        <f t="shared" si="59"/>
        <v>411529.15057692304</v>
      </c>
      <c r="J57" s="267">
        <f t="shared" si="59"/>
        <v>489447.05458333332</v>
      </c>
      <c r="K57" s="267">
        <f t="shared" si="59"/>
        <v>461811.22125</v>
      </c>
      <c r="L57" s="268">
        <f t="shared" si="59"/>
        <v>1857223.2269871794</v>
      </c>
      <c r="M57" s="267">
        <f t="shared" si="59"/>
        <v>480164.86906249996</v>
      </c>
      <c r="N57" s="267">
        <f t="shared" si="59"/>
        <v>480164.86906249996</v>
      </c>
      <c r="O57" s="267">
        <f t="shared" si="59"/>
        <v>480164.86906249996</v>
      </c>
      <c r="P57" s="267">
        <f t="shared" si="59"/>
        <v>480164.86906249996</v>
      </c>
      <c r="Q57" s="267">
        <f t="shared" si="59"/>
        <v>1920658.6262499997</v>
      </c>
      <c r="R57" s="267">
        <f t="shared" si="59"/>
        <v>499436.19926562498</v>
      </c>
      <c r="S57" s="267">
        <f t="shared" si="59"/>
        <v>499436.19926562498</v>
      </c>
      <c r="T57" s="267">
        <f t="shared" si="59"/>
        <v>499436.19926562498</v>
      </c>
      <c r="U57" s="267">
        <f t="shared" si="59"/>
        <v>499436.19926562498</v>
      </c>
      <c r="V57" s="267">
        <f t="shared" si="59"/>
        <v>1997743.9470624998</v>
      </c>
      <c r="W57" s="268">
        <f t="shared" si="56"/>
        <v>6015850.4465496792</v>
      </c>
      <c r="X57" s="224"/>
      <c r="Y57" s="176"/>
    </row>
    <row r="58" spans="2:35" hidden="1" outlineLevel="1" x14ac:dyDescent="0.25">
      <c r="B58" s="286"/>
      <c r="C58" s="287"/>
      <c r="D58" s="179"/>
      <c r="E58" s="288"/>
      <c r="F58" s="288"/>
      <c r="G58" s="288"/>
      <c r="H58" s="289"/>
      <c r="I58" s="288"/>
      <c r="J58" s="288"/>
      <c r="K58" s="290"/>
      <c r="L58" s="291"/>
      <c r="M58" s="288"/>
      <c r="N58" s="288"/>
      <c r="O58" s="288"/>
      <c r="P58" s="288"/>
      <c r="Q58" s="288"/>
      <c r="R58" s="288"/>
      <c r="S58" s="288"/>
      <c r="T58" s="288"/>
      <c r="U58" s="288"/>
      <c r="V58" s="288"/>
      <c r="W58" s="291">
        <f t="shared" si="56"/>
        <v>0</v>
      </c>
      <c r="X58" s="292"/>
    </row>
    <row r="59" spans="2:35" s="202" customFormat="1" hidden="1" outlineLevel="2" x14ac:dyDescent="0.25">
      <c r="B59" s="203" t="s">
        <v>230</v>
      </c>
      <c r="C59" s="204" t="s">
        <v>195</v>
      </c>
      <c r="E59" s="208"/>
      <c r="F59" s="206">
        <f>F16</f>
        <v>100000</v>
      </c>
      <c r="G59" s="210">
        <f t="shared" ref="G59" si="60">SUM(E59:F59)</f>
        <v>100000</v>
      </c>
      <c r="H59" s="208"/>
      <c r="I59" s="209"/>
      <c r="J59" s="209"/>
      <c r="K59" s="209"/>
      <c r="L59" s="436"/>
      <c r="M59" s="214"/>
      <c r="N59" s="214"/>
      <c r="O59" s="214"/>
      <c r="P59" s="214"/>
      <c r="Q59" s="210"/>
      <c r="R59" s="214"/>
      <c r="S59" s="214"/>
      <c r="T59" s="214"/>
      <c r="U59" s="214"/>
      <c r="V59" s="210"/>
      <c r="W59" s="341">
        <f t="shared" si="56"/>
        <v>100000</v>
      </c>
      <c r="X59" s="224"/>
      <c r="Y59" s="218"/>
    </row>
    <row r="60" spans="2:35" s="202" customFormat="1" hidden="1" outlineLevel="2" x14ac:dyDescent="0.25">
      <c r="B60" s="394" t="s">
        <v>270</v>
      </c>
      <c r="C60" s="204"/>
      <c r="E60" s="213"/>
      <c r="F60" s="431">
        <f>F17</f>
        <v>164003.40000000002</v>
      </c>
      <c r="G60" s="207">
        <f>SUM(E60:F60)</f>
        <v>164003.40000000002</v>
      </c>
      <c r="H60" s="208"/>
      <c r="I60" s="209"/>
      <c r="J60" s="209"/>
      <c r="K60" s="209"/>
      <c r="L60" s="436"/>
      <c r="M60" s="214"/>
      <c r="N60" s="214"/>
      <c r="O60" s="214"/>
      <c r="P60" s="214"/>
      <c r="Q60" s="210"/>
      <c r="R60" s="214"/>
      <c r="S60" s="214"/>
      <c r="T60" s="214"/>
      <c r="U60" s="214"/>
      <c r="V60" s="210"/>
      <c r="W60" s="340">
        <f t="shared" si="56"/>
        <v>164003.40000000002</v>
      </c>
      <c r="X60" s="211"/>
      <c r="Y60" s="218"/>
    </row>
    <row r="61" spans="2:35" s="202" customFormat="1" hidden="1" outlineLevel="2" x14ac:dyDescent="0.25">
      <c r="B61" s="203"/>
      <c r="C61" s="204"/>
      <c r="E61" s="217"/>
      <c r="F61" s="227"/>
      <c r="G61" s="221"/>
      <c r="H61" s="205"/>
      <c r="I61" s="178"/>
      <c r="J61" s="178"/>
      <c r="K61" s="178"/>
      <c r="L61" s="437"/>
      <c r="M61" s="223"/>
      <c r="N61" s="204"/>
      <c r="O61" s="204"/>
      <c r="P61" s="204"/>
      <c r="Q61" s="221"/>
      <c r="R61" s="223"/>
      <c r="S61" s="204"/>
      <c r="T61" s="204"/>
      <c r="U61" s="204"/>
      <c r="V61" s="221"/>
      <c r="W61" s="354"/>
      <c r="X61" s="224"/>
      <c r="Y61" s="218"/>
    </row>
    <row r="62" spans="2:35" s="202" customFormat="1" hidden="1" outlineLevel="2" x14ac:dyDescent="0.25">
      <c r="B62" s="203" t="s">
        <v>198</v>
      </c>
      <c r="C62" s="204"/>
      <c r="E62" s="217"/>
      <c r="F62" s="227"/>
      <c r="G62" s="221"/>
      <c r="H62" s="205"/>
      <c r="I62" s="178"/>
      <c r="J62" s="178"/>
      <c r="K62" s="178"/>
      <c r="L62" s="437"/>
      <c r="M62" s="223"/>
      <c r="N62" s="204"/>
      <c r="O62" s="204"/>
      <c r="P62" s="204"/>
      <c r="Q62" s="221"/>
      <c r="R62" s="223"/>
      <c r="S62" s="204"/>
      <c r="T62" s="204"/>
      <c r="U62" s="204"/>
      <c r="V62" s="221"/>
      <c r="W62" s="354"/>
      <c r="X62" s="224"/>
      <c r="Y62" s="218"/>
    </row>
    <row r="63" spans="2:35" s="218" customFormat="1" ht="15" hidden="1" customHeight="1" outlineLevel="3" collapsed="1" x14ac:dyDescent="0.25">
      <c r="B63" s="234" t="s">
        <v>226</v>
      </c>
      <c r="C63" s="273"/>
      <c r="D63" s="274"/>
      <c r="E63" s="276">
        <f t="shared" ref="E63:V63" si="61">E22+E48</f>
        <v>0</v>
      </c>
      <c r="F63" s="276">
        <f t="shared" si="61"/>
        <v>348949.57383066136</v>
      </c>
      <c r="G63" s="230">
        <f t="shared" si="61"/>
        <v>348949.57383066136</v>
      </c>
      <c r="H63" s="276">
        <f t="shared" si="61"/>
        <v>473310.82383066136</v>
      </c>
      <c r="I63" s="276">
        <f t="shared" si="61"/>
        <v>473310.82383066136</v>
      </c>
      <c r="J63" s="276">
        <f t="shared" si="61"/>
        <v>514764.57383066136</v>
      </c>
      <c r="K63" s="276">
        <f t="shared" si="61"/>
        <v>514764.57383066136</v>
      </c>
      <c r="L63" s="438">
        <f t="shared" si="61"/>
        <v>1976150.7953226455</v>
      </c>
      <c r="M63" s="276">
        <f t="shared" si="61"/>
        <v>540502.80252219446</v>
      </c>
      <c r="N63" s="276">
        <f t="shared" si="61"/>
        <v>540502.80252219446</v>
      </c>
      <c r="O63" s="276">
        <f t="shared" si="61"/>
        <v>540502.80252219446</v>
      </c>
      <c r="P63" s="276">
        <f t="shared" si="61"/>
        <v>540502.80252219446</v>
      </c>
      <c r="Q63" s="230">
        <f t="shared" si="61"/>
        <v>2162011.2100887778</v>
      </c>
      <c r="R63" s="276">
        <f t="shared" si="61"/>
        <v>567527.94264830416</v>
      </c>
      <c r="S63" s="276">
        <f t="shared" si="61"/>
        <v>567527.94264830416</v>
      </c>
      <c r="T63" s="276">
        <f t="shared" si="61"/>
        <v>567527.94264830416</v>
      </c>
      <c r="U63" s="276">
        <f t="shared" si="61"/>
        <v>567527.94264830416</v>
      </c>
      <c r="V63" s="230">
        <f t="shared" si="61"/>
        <v>2270111.7705932166</v>
      </c>
      <c r="W63" s="355">
        <f>W22+W48</f>
        <v>6757223.3498353017</v>
      </c>
      <c r="X63" s="211"/>
      <c r="Y63" s="780"/>
      <c r="Z63" s="780"/>
      <c r="AA63" s="780"/>
      <c r="AB63" s="780"/>
      <c r="AC63" s="780"/>
      <c r="AD63" s="780"/>
      <c r="AE63" s="780"/>
      <c r="AF63" s="780"/>
      <c r="AG63" s="780"/>
      <c r="AH63" s="780"/>
    </row>
    <row r="64" spans="2:35" s="218" customFormat="1" hidden="1" outlineLevel="3" x14ac:dyDescent="0.25">
      <c r="B64" s="234" t="s">
        <v>202</v>
      </c>
      <c r="C64" s="273"/>
      <c r="D64" s="274"/>
      <c r="E64" s="276">
        <f t="shared" ref="E64:V64" si="62">E24+E50</f>
        <v>0</v>
      </c>
      <c r="F64" s="276">
        <f t="shared" si="62"/>
        <v>40391.200957601541</v>
      </c>
      <c r="G64" s="230">
        <f t="shared" si="62"/>
        <v>40391.200957601541</v>
      </c>
      <c r="H64" s="276">
        <f t="shared" si="62"/>
        <v>52827.325957601541</v>
      </c>
      <c r="I64" s="276">
        <f t="shared" si="62"/>
        <v>52827.325957601541</v>
      </c>
      <c r="J64" s="276">
        <f t="shared" si="62"/>
        <v>56972.700957601541</v>
      </c>
      <c r="K64" s="276">
        <f t="shared" si="62"/>
        <v>56972.700957601541</v>
      </c>
      <c r="L64" s="438">
        <f t="shared" si="62"/>
        <v>219600.05383040616</v>
      </c>
      <c r="M64" s="276">
        <f t="shared" si="62"/>
        <v>59821.336005481622</v>
      </c>
      <c r="N64" s="276">
        <f t="shared" si="62"/>
        <v>59821.336005481622</v>
      </c>
      <c r="O64" s="276">
        <f t="shared" si="62"/>
        <v>59821.336005481622</v>
      </c>
      <c r="P64" s="276">
        <f t="shared" si="62"/>
        <v>59821.336005481622</v>
      </c>
      <c r="Q64" s="230">
        <f t="shared" si="62"/>
        <v>239285.34402192649</v>
      </c>
      <c r="R64" s="276">
        <f t="shared" si="62"/>
        <v>62812.402805755701</v>
      </c>
      <c r="S64" s="276">
        <f t="shared" si="62"/>
        <v>62812.402805755701</v>
      </c>
      <c r="T64" s="276">
        <f t="shared" si="62"/>
        <v>62812.402805755701</v>
      </c>
      <c r="U64" s="276">
        <f t="shared" si="62"/>
        <v>62812.402805755701</v>
      </c>
      <c r="V64" s="230">
        <f t="shared" si="62"/>
        <v>251249.6112230228</v>
      </c>
      <c r="W64" s="355">
        <f>W24+W50</f>
        <v>750526.21003295702</v>
      </c>
      <c r="X64" s="211"/>
      <c r="Y64" s="780"/>
      <c r="Z64" s="780"/>
      <c r="AA64" s="780"/>
      <c r="AB64" s="780"/>
      <c r="AC64" s="780"/>
      <c r="AD64" s="780"/>
      <c r="AE64" s="780"/>
      <c r="AF64" s="780"/>
      <c r="AG64" s="780"/>
      <c r="AH64" s="780"/>
    </row>
    <row r="65" spans="2:34" s="218" customFormat="1" hidden="1" outlineLevel="3" x14ac:dyDescent="0.25">
      <c r="B65" s="234" t="s">
        <v>204</v>
      </c>
      <c r="C65" s="273"/>
      <c r="D65" s="274"/>
      <c r="E65" s="238">
        <f t="shared" ref="E65:V65" si="63">E26+E52</f>
        <v>0</v>
      </c>
      <c r="F65" s="238">
        <f t="shared" si="63"/>
        <v>58401.131218239432</v>
      </c>
      <c r="G65" s="230">
        <f t="shared" si="63"/>
        <v>58401.131218239432</v>
      </c>
      <c r="H65" s="238">
        <f t="shared" si="63"/>
        <v>78920.737468239429</v>
      </c>
      <c r="I65" s="238">
        <f t="shared" si="63"/>
        <v>78920.737468239429</v>
      </c>
      <c r="J65" s="238">
        <f t="shared" si="63"/>
        <v>85760.606218239438</v>
      </c>
      <c r="K65" s="238">
        <f t="shared" si="63"/>
        <v>85760.606218239438</v>
      </c>
      <c r="L65" s="438">
        <f t="shared" si="63"/>
        <v>329362.68737295771</v>
      </c>
      <c r="M65" s="238">
        <f t="shared" si="63"/>
        <v>90048.643279151394</v>
      </c>
      <c r="N65" s="238">
        <f t="shared" si="63"/>
        <v>90048.643279151394</v>
      </c>
      <c r="O65" s="238">
        <f t="shared" si="63"/>
        <v>90048.643279151394</v>
      </c>
      <c r="P65" s="238">
        <f t="shared" si="63"/>
        <v>90048.643279151394</v>
      </c>
      <c r="Q65" s="230">
        <f t="shared" si="63"/>
        <v>360194.57311660558</v>
      </c>
      <c r="R65" s="238">
        <f t="shared" si="63"/>
        <v>94551.074318108978</v>
      </c>
      <c r="S65" s="238">
        <f t="shared" si="63"/>
        <v>94551.066818108986</v>
      </c>
      <c r="T65" s="238">
        <f t="shared" si="63"/>
        <v>94551.066818108986</v>
      </c>
      <c r="U65" s="238">
        <f t="shared" si="63"/>
        <v>94551.066818108986</v>
      </c>
      <c r="V65" s="230">
        <f t="shared" si="63"/>
        <v>378204.27477243589</v>
      </c>
      <c r="W65" s="355">
        <f>W26+W52</f>
        <v>1126162.6664802388</v>
      </c>
      <c r="X65" s="211"/>
      <c r="Y65" s="780"/>
      <c r="Z65" s="780"/>
      <c r="AA65" s="780"/>
      <c r="AB65" s="780"/>
      <c r="AC65" s="780"/>
      <c r="AD65" s="780"/>
      <c r="AE65" s="780"/>
      <c r="AF65" s="780"/>
      <c r="AG65" s="780"/>
      <c r="AH65" s="780"/>
    </row>
    <row r="66" spans="2:34" s="218" customFormat="1" hidden="1" outlineLevel="3" x14ac:dyDescent="0.25">
      <c r="B66" s="234" t="s">
        <v>205</v>
      </c>
      <c r="C66" s="273"/>
      <c r="D66" s="274"/>
      <c r="E66" s="208">
        <f t="shared" ref="E66:V66" si="64">E27+E53</f>
        <v>0</v>
      </c>
      <c r="F66" s="255">
        <f t="shared" si="64"/>
        <v>104157.5</v>
      </c>
      <c r="G66" s="210">
        <f t="shared" si="64"/>
        <v>104157.5</v>
      </c>
      <c r="H66" s="213">
        <f t="shared" si="64"/>
        <v>104157.5</v>
      </c>
      <c r="I66" s="214">
        <f t="shared" si="64"/>
        <v>21250</v>
      </c>
      <c r="J66" s="214">
        <f t="shared" si="64"/>
        <v>48885.833333333328</v>
      </c>
      <c r="K66" s="214">
        <f t="shared" si="64"/>
        <v>21250</v>
      </c>
      <c r="L66" s="436">
        <f t="shared" si="64"/>
        <v>195543.33333333331</v>
      </c>
      <c r="M66" s="214">
        <f t="shared" si="64"/>
        <v>21250</v>
      </c>
      <c r="N66" s="214">
        <f t="shared" si="64"/>
        <v>7083.3333333333339</v>
      </c>
      <c r="O66" s="214">
        <f t="shared" si="64"/>
        <v>7083.3333333333339</v>
      </c>
      <c r="P66" s="214">
        <f t="shared" si="64"/>
        <v>7083.3333333333339</v>
      </c>
      <c r="Q66" s="210">
        <f t="shared" si="64"/>
        <v>42500.000000000007</v>
      </c>
      <c r="R66" s="214">
        <f t="shared" si="64"/>
        <v>7083.3333333333339</v>
      </c>
      <c r="S66" s="214">
        <f t="shared" si="64"/>
        <v>7083.3333333333339</v>
      </c>
      <c r="T66" s="214">
        <f t="shared" si="64"/>
        <v>7083.3333333333339</v>
      </c>
      <c r="U66" s="214">
        <f t="shared" si="64"/>
        <v>0</v>
      </c>
      <c r="V66" s="210">
        <f t="shared" si="64"/>
        <v>21250</v>
      </c>
      <c r="W66" s="341">
        <f>W27+W53</f>
        <v>363450.83333333331</v>
      </c>
      <c r="X66" s="211"/>
      <c r="Y66" s="215"/>
      <c r="Z66" s="215"/>
      <c r="AA66" s="215"/>
      <c r="AB66" s="215"/>
      <c r="AC66" s="215"/>
      <c r="AD66" s="215"/>
      <c r="AE66" s="215"/>
      <c r="AF66" s="215"/>
      <c r="AG66" s="215"/>
      <c r="AH66" s="215"/>
    </row>
    <row r="67" spans="2:34" s="218" customFormat="1" hidden="1" outlineLevel="3" x14ac:dyDescent="0.25">
      <c r="B67" s="234" t="s">
        <v>206</v>
      </c>
      <c r="C67" s="273"/>
      <c r="D67" s="274"/>
      <c r="E67" s="208">
        <f t="shared" ref="E67:V67" si="65">E28+E54</f>
        <v>0</v>
      </c>
      <c r="F67" s="255">
        <f t="shared" si="65"/>
        <v>240224.74625</v>
      </c>
      <c r="G67" s="210">
        <f t="shared" si="65"/>
        <v>240224.64624999999</v>
      </c>
      <c r="H67" s="213">
        <f t="shared" si="65"/>
        <v>397541.72749999998</v>
      </c>
      <c r="I67" s="214">
        <f t="shared" si="65"/>
        <v>314634.22749999998</v>
      </c>
      <c r="J67" s="214">
        <f t="shared" si="65"/>
        <v>394709.05458333332</v>
      </c>
      <c r="K67" s="214">
        <f t="shared" si="65"/>
        <v>367073.22125</v>
      </c>
      <c r="L67" s="436">
        <f t="shared" si="65"/>
        <v>1473957.3808333331</v>
      </c>
      <c r="M67" s="214">
        <f t="shared" si="65"/>
        <v>385426.86906249996</v>
      </c>
      <c r="N67" s="214">
        <f t="shared" si="65"/>
        <v>385426.86906249996</v>
      </c>
      <c r="O67" s="214">
        <f t="shared" si="65"/>
        <v>385426.86906249996</v>
      </c>
      <c r="P67" s="214">
        <f t="shared" si="65"/>
        <v>385426.86906249996</v>
      </c>
      <c r="Q67" s="210">
        <f t="shared" si="65"/>
        <v>1541706.6262499997</v>
      </c>
      <c r="R67" s="214">
        <f t="shared" si="65"/>
        <v>404698.19926562498</v>
      </c>
      <c r="S67" s="214">
        <f t="shared" si="65"/>
        <v>404698.19926562498</v>
      </c>
      <c r="T67" s="214">
        <f t="shared" si="65"/>
        <v>404698.19926562498</v>
      </c>
      <c r="U67" s="214">
        <f t="shared" si="65"/>
        <v>404698.19926562498</v>
      </c>
      <c r="V67" s="210">
        <f t="shared" si="65"/>
        <v>1618791.9470624998</v>
      </c>
      <c r="W67" s="341">
        <f>W28+W54</f>
        <v>4874680.6003958331</v>
      </c>
      <c r="X67" s="211"/>
      <c r="Y67" s="215"/>
      <c r="Z67" s="215"/>
      <c r="AA67" s="215"/>
      <c r="AB67" s="215"/>
      <c r="AC67" s="215"/>
      <c r="AD67" s="215"/>
      <c r="AE67" s="215"/>
      <c r="AF67" s="215"/>
      <c r="AG67" s="215"/>
      <c r="AH67" s="215"/>
    </row>
    <row r="68" spans="2:34" s="218" customFormat="1" hidden="1" outlineLevel="3" x14ac:dyDescent="0.25">
      <c r="B68" s="234" t="s">
        <v>228</v>
      </c>
      <c r="C68" s="273"/>
      <c r="D68" s="274"/>
      <c r="E68" s="208">
        <f>E53</f>
        <v>0</v>
      </c>
      <c r="F68" s="255">
        <f>F53</f>
        <v>82907.5</v>
      </c>
      <c r="G68" s="210">
        <f>SUM(E68:F68)</f>
        <v>82907.5</v>
      </c>
      <c r="H68" s="213">
        <f>H53</f>
        <v>82907.5</v>
      </c>
      <c r="I68" s="214">
        <f>I53</f>
        <v>0</v>
      </c>
      <c r="J68" s="214">
        <f>J53</f>
        <v>27635.833333333332</v>
      </c>
      <c r="K68" s="214">
        <f>K53</f>
        <v>0</v>
      </c>
      <c r="L68" s="436">
        <f t="shared" ref="L68:L80" si="66">SUM(H68:K68)</f>
        <v>110543.33333333333</v>
      </c>
      <c r="M68" s="214">
        <f>M53</f>
        <v>0</v>
      </c>
      <c r="N68" s="214">
        <f>N53</f>
        <v>0</v>
      </c>
      <c r="O68" s="214">
        <f>O53</f>
        <v>0</v>
      </c>
      <c r="P68" s="214">
        <f>P53</f>
        <v>0</v>
      </c>
      <c r="Q68" s="210">
        <f t="shared" ref="Q68:Q81" si="67">SUM(M68:P68)</f>
        <v>0</v>
      </c>
      <c r="R68" s="214">
        <f>R53</f>
        <v>0</v>
      </c>
      <c r="S68" s="214">
        <f>S53</f>
        <v>0</v>
      </c>
      <c r="T68" s="214">
        <f>T53</f>
        <v>0</v>
      </c>
      <c r="U68" s="214">
        <f>U53</f>
        <v>0</v>
      </c>
      <c r="V68" s="210">
        <f t="shared" ref="V68:V81" si="68">SUM(R68:U68)</f>
        <v>0</v>
      </c>
      <c r="W68" s="341">
        <f>G68+L68+Q68+V68</f>
        <v>193450.83333333331</v>
      </c>
      <c r="X68" s="211"/>
      <c r="Y68" s="293" t="s">
        <v>231</v>
      </c>
      <c r="Z68" s="215"/>
      <c r="AA68" s="215"/>
      <c r="AB68" s="215"/>
      <c r="AC68" s="215"/>
      <c r="AD68" s="215"/>
      <c r="AE68" s="215"/>
      <c r="AF68" s="215"/>
      <c r="AG68" s="215"/>
      <c r="AH68" s="215"/>
    </row>
    <row r="69" spans="2:34" s="218" customFormat="1" hidden="1" outlineLevel="2" x14ac:dyDescent="0.25">
      <c r="B69" s="280" t="s">
        <v>207</v>
      </c>
      <c r="C69" s="273"/>
      <c r="D69" s="274"/>
      <c r="E69" s="283">
        <f>E29+E54</f>
        <v>0</v>
      </c>
      <c r="F69" s="283">
        <f>F29+F54</f>
        <v>551899.80600650236</v>
      </c>
      <c r="G69" s="221">
        <f t="shared" ref="G69:G71" si="69">SUM(E69:F69)</f>
        <v>551899.80600650236</v>
      </c>
      <c r="H69" s="283">
        <f>H29+H54</f>
        <v>709216.78725650231</v>
      </c>
      <c r="I69" s="283">
        <f>I29+I54</f>
        <v>626309.28725650231</v>
      </c>
      <c r="J69" s="283">
        <f>J29+J54</f>
        <v>706384.11433983571</v>
      </c>
      <c r="K69" s="283">
        <f>K29+K54</f>
        <v>678748.28100650234</v>
      </c>
      <c r="L69" s="437">
        <f t="shared" si="66"/>
        <v>2720658.4698593426</v>
      </c>
      <c r="M69" s="283">
        <f>M29+M54</f>
        <v>711623.23180682748</v>
      </c>
      <c r="N69" s="283">
        <f>N29+N54</f>
        <v>697456.5151401608</v>
      </c>
      <c r="O69" s="283">
        <f>O29+O54</f>
        <v>697456.5151401608</v>
      </c>
      <c r="P69" s="283">
        <f>P29+P54</f>
        <v>697456.5151401608</v>
      </c>
      <c r="Q69" s="221">
        <f t="shared" si="67"/>
        <v>2803992.77722731</v>
      </c>
      <c r="R69" s="283">
        <f>R29+R54</f>
        <v>731975.20310550218</v>
      </c>
      <c r="S69" s="283">
        <f>S29+S54</f>
        <v>731975.14560550218</v>
      </c>
      <c r="T69" s="283">
        <f>T29+T54</f>
        <v>731975.14560550218</v>
      </c>
      <c r="U69" s="283">
        <f>U29+U54</f>
        <v>724891.81227216893</v>
      </c>
      <c r="V69" s="221">
        <f t="shared" si="68"/>
        <v>2920817.3065886758</v>
      </c>
      <c r="W69" s="354">
        <f>G69+L69+Q69+V69</f>
        <v>8997368.3596818298</v>
      </c>
      <c r="X69" s="224"/>
      <c r="Y69" s="246"/>
      <c r="Z69" s="215"/>
      <c r="AA69" s="215"/>
      <c r="AB69" s="215"/>
      <c r="AC69" s="215"/>
      <c r="AD69" s="215"/>
      <c r="AE69" s="215"/>
      <c r="AF69" s="215"/>
      <c r="AG69" s="215"/>
      <c r="AH69" s="215"/>
    </row>
    <row r="70" spans="2:34" s="218" customFormat="1" hidden="1" outlineLevel="2" x14ac:dyDescent="0.25">
      <c r="B70" s="280" t="s">
        <v>209</v>
      </c>
      <c r="C70" s="281"/>
      <c r="D70" s="274"/>
      <c r="E70" s="283">
        <f>E31+E55</f>
        <v>0</v>
      </c>
      <c r="F70" s="283">
        <f>F31+F55</f>
        <v>17500</v>
      </c>
      <c r="G70" s="221">
        <f t="shared" si="69"/>
        <v>17500</v>
      </c>
      <c r="H70" s="283">
        <f t="shared" ref="H70:K71" si="70">H31+H55</f>
        <v>32500</v>
      </c>
      <c r="I70" s="283">
        <f t="shared" si="70"/>
        <v>32500</v>
      </c>
      <c r="J70" s="283">
        <f t="shared" si="70"/>
        <v>35000</v>
      </c>
      <c r="K70" s="283">
        <f t="shared" si="70"/>
        <v>35000</v>
      </c>
      <c r="L70" s="437">
        <f t="shared" si="66"/>
        <v>135000</v>
      </c>
      <c r="M70" s="283">
        <f t="shared" ref="M70:P71" si="71">M31+M55</f>
        <v>35000</v>
      </c>
      <c r="N70" s="283">
        <f t="shared" si="71"/>
        <v>35000</v>
      </c>
      <c r="O70" s="283">
        <f t="shared" si="71"/>
        <v>35000</v>
      </c>
      <c r="P70" s="283">
        <f t="shared" si="71"/>
        <v>35000</v>
      </c>
      <c r="Q70" s="221">
        <f t="shared" si="67"/>
        <v>140000</v>
      </c>
      <c r="R70" s="283">
        <f t="shared" ref="R70:U71" si="72">R31+R55</f>
        <v>35000</v>
      </c>
      <c r="S70" s="283">
        <f t="shared" si="72"/>
        <v>35000</v>
      </c>
      <c r="T70" s="283">
        <f t="shared" si="72"/>
        <v>35000</v>
      </c>
      <c r="U70" s="283">
        <f t="shared" si="72"/>
        <v>35000</v>
      </c>
      <c r="V70" s="221">
        <f t="shared" si="68"/>
        <v>140000</v>
      </c>
      <c r="W70" s="354">
        <f>G70+L70+Q70+V70</f>
        <v>432500</v>
      </c>
      <c r="X70" s="224"/>
      <c r="Y70" s="246"/>
    </row>
    <row r="71" spans="2:34" hidden="1" outlineLevel="2" x14ac:dyDescent="0.25">
      <c r="B71" s="280" t="s">
        <v>229</v>
      </c>
      <c r="C71" s="287"/>
      <c r="D71" s="179"/>
      <c r="E71" s="204">
        <f>E32+E56</f>
        <v>0</v>
      </c>
      <c r="F71" s="204">
        <f>F32+F56</f>
        <v>22963</v>
      </c>
      <c r="G71" s="221">
        <f t="shared" si="69"/>
        <v>22963</v>
      </c>
      <c r="H71" s="204">
        <f>H32+H56</f>
        <v>177439</v>
      </c>
      <c r="I71" s="204">
        <f t="shared" si="70"/>
        <v>177439</v>
      </c>
      <c r="J71" s="204">
        <f t="shared" si="70"/>
        <v>154476</v>
      </c>
      <c r="K71" s="204">
        <f t="shared" si="70"/>
        <v>154476</v>
      </c>
      <c r="L71" s="437">
        <f>SUM(H71:K71)</f>
        <v>663830</v>
      </c>
      <c r="M71" s="204">
        <f t="shared" si="71"/>
        <v>154476</v>
      </c>
      <c r="N71" s="204">
        <f t="shared" si="71"/>
        <v>154476</v>
      </c>
      <c r="O71" s="204">
        <f t="shared" si="71"/>
        <v>154476</v>
      </c>
      <c r="P71" s="204">
        <f t="shared" si="71"/>
        <v>154476</v>
      </c>
      <c r="Q71" s="221">
        <f t="shared" si="67"/>
        <v>617904</v>
      </c>
      <c r="R71" s="204">
        <f t="shared" si="72"/>
        <v>154476</v>
      </c>
      <c r="S71" s="204">
        <f t="shared" si="72"/>
        <v>154476</v>
      </c>
      <c r="T71" s="204">
        <f t="shared" si="72"/>
        <v>154476</v>
      </c>
      <c r="U71" s="204">
        <f t="shared" si="72"/>
        <v>154476</v>
      </c>
      <c r="V71" s="221">
        <f t="shared" si="68"/>
        <v>617904</v>
      </c>
      <c r="W71" s="354">
        <f>G71+L71+Q71+V71</f>
        <v>1922601</v>
      </c>
      <c r="X71" s="224"/>
    </row>
    <row r="72" spans="2:34" hidden="1" outlineLevel="2" x14ac:dyDescent="0.25">
      <c r="B72" s="203" t="s">
        <v>212</v>
      </c>
      <c r="C72" s="287"/>
      <c r="D72" s="179"/>
      <c r="E72" s="214">
        <f t="shared" ref="E72:W72" si="73">E33</f>
        <v>43750</v>
      </c>
      <c r="F72" s="214">
        <f t="shared" si="73"/>
        <v>0</v>
      </c>
      <c r="G72" s="210">
        <f t="shared" si="73"/>
        <v>43750</v>
      </c>
      <c r="H72" s="214">
        <f t="shared" si="73"/>
        <v>0</v>
      </c>
      <c r="I72" s="214">
        <f t="shared" si="73"/>
        <v>0</v>
      </c>
      <c r="J72" s="214">
        <f t="shared" si="73"/>
        <v>0</v>
      </c>
      <c r="K72" s="214">
        <f t="shared" si="73"/>
        <v>0</v>
      </c>
      <c r="L72" s="436">
        <f t="shared" si="73"/>
        <v>0</v>
      </c>
      <c r="M72" s="214">
        <f t="shared" si="73"/>
        <v>0</v>
      </c>
      <c r="N72" s="214">
        <f t="shared" si="73"/>
        <v>0</v>
      </c>
      <c r="O72" s="214">
        <f t="shared" si="73"/>
        <v>0</v>
      </c>
      <c r="P72" s="214">
        <f t="shared" si="73"/>
        <v>0</v>
      </c>
      <c r="Q72" s="210">
        <f t="shared" si="73"/>
        <v>0</v>
      </c>
      <c r="R72" s="214">
        <f t="shared" si="73"/>
        <v>0</v>
      </c>
      <c r="S72" s="214">
        <f t="shared" si="73"/>
        <v>0</v>
      </c>
      <c r="T72" s="214">
        <f t="shared" si="73"/>
        <v>0</v>
      </c>
      <c r="U72" s="214">
        <f t="shared" si="73"/>
        <v>0</v>
      </c>
      <c r="V72" s="210">
        <f t="shared" si="73"/>
        <v>0</v>
      </c>
      <c r="W72" s="341">
        <f t="shared" si="73"/>
        <v>43750</v>
      </c>
      <c r="X72" s="224"/>
    </row>
    <row r="73" spans="2:34" hidden="1" outlineLevel="2" x14ac:dyDescent="0.25">
      <c r="B73" s="203" t="s">
        <v>214</v>
      </c>
      <c r="C73" s="287"/>
      <c r="D73" s="179"/>
      <c r="E73" s="431">
        <f t="shared" ref="E73:K79" si="74">E34</f>
        <v>0</v>
      </c>
      <c r="F73" s="431">
        <f t="shared" si="74"/>
        <v>90000</v>
      </c>
      <c r="G73" s="210">
        <f t="shared" si="74"/>
        <v>90000</v>
      </c>
      <c r="H73" s="431">
        <f t="shared" si="74"/>
        <v>0</v>
      </c>
      <c r="I73" s="431">
        <f t="shared" si="74"/>
        <v>0</v>
      </c>
      <c r="J73" s="431">
        <f t="shared" si="74"/>
        <v>0</v>
      </c>
      <c r="K73" s="431">
        <f t="shared" si="74"/>
        <v>0</v>
      </c>
      <c r="L73" s="436">
        <f t="shared" si="66"/>
        <v>0</v>
      </c>
      <c r="M73" s="431">
        <f t="shared" ref="M73:P79" si="75">M34</f>
        <v>0</v>
      </c>
      <c r="N73" s="431">
        <f t="shared" si="75"/>
        <v>0</v>
      </c>
      <c r="O73" s="431">
        <f t="shared" si="75"/>
        <v>0</v>
      </c>
      <c r="P73" s="431">
        <f t="shared" si="75"/>
        <v>0</v>
      </c>
      <c r="Q73" s="210">
        <f t="shared" si="67"/>
        <v>0</v>
      </c>
      <c r="R73" s="431">
        <f t="shared" ref="R73:U79" si="76">R34</f>
        <v>0</v>
      </c>
      <c r="S73" s="431">
        <f t="shared" si="76"/>
        <v>0</v>
      </c>
      <c r="T73" s="431">
        <f t="shared" si="76"/>
        <v>0</v>
      </c>
      <c r="U73" s="431">
        <f t="shared" si="76"/>
        <v>0</v>
      </c>
      <c r="V73" s="210">
        <f t="shared" si="68"/>
        <v>0</v>
      </c>
      <c r="W73" s="341">
        <f t="shared" ref="W73:W79" si="77">W34</f>
        <v>90000</v>
      </c>
      <c r="X73" s="224"/>
    </row>
    <row r="74" spans="2:34" s="202" customFormat="1" hidden="1" outlineLevel="2" x14ac:dyDescent="0.25">
      <c r="B74" s="203" t="s">
        <v>215</v>
      </c>
      <c r="C74" s="204" t="s">
        <v>213</v>
      </c>
      <c r="E74" s="283">
        <f t="shared" si="74"/>
        <v>0</v>
      </c>
      <c r="F74" s="283">
        <f t="shared" si="74"/>
        <v>20000</v>
      </c>
      <c r="G74" s="221">
        <f t="shared" si="74"/>
        <v>20000</v>
      </c>
      <c r="H74" s="283">
        <f t="shared" si="74"/>
        <v>10000</v>
      </c>
      <c r="I74" s="283">
        <f t="shared" si="74"/>
        <v>10000</v>
      </c>
      <c r="J74" s="283">
        <f t="shared" si="74"/>
        <v>20000</v>
      </c>
      <c r="K74" s="283">
        <f t="shared" si="74"/>
        <v>10000</v>
      </c>
      <c r="L74" s="437">
        <f t="shared" si="66"/>
        <v>50000</v>
      </c>
      <c r="M74" s="283">
        <f t="shared" si="75"/>
        <v>10000</v>
      </c>
      <c r="N74" s="283">
        <f t="shared" si="75"/>
        <v>10000</v>
      </c>
      <c r="O74" s="283">
        <f t="shared" si="75"/>
        <v>10000</v>
      </c>
      <c r="P74" s="283">
        <f t="shared" si="75"/>
        <v>10000</v>
      </c>
      <c r="Q74" s="221">
        <f t="shared" si="67"/>
        <v>40000</v>
      </c>
      <c r="R74" s="283">
        <f t="shared" si="76"/>
        <v>10000</v>
      </c>
      <c r="S74" s="283">
        <f t="shared" si="76"/>
        <v>10000</v>
      </c>
      <c r="T74" s="283">
        <f t="shared" si="76"/>
        <v>10000</v>
      </c>
      <c r="U74" s="283">
        <f t="shared" si="76"/>
        <v>10000</v>
      </c>
      <c r="V74" s="221">
        <f t="shared" si="68"/>
        <v>40000</v>
      </c>
      <c r="W74" s="354">
        <f t="shared" si="77"/>
        <v>150000</v>
      </c>
      <c r="X74" s="224"/>
      <c r="Y74" s="170"/>
      <c r="Z74" s="166"/>
      <c r="AA74" s="166"/>
    </row>
    <row r="75" spans="2:34" s="202" customFormat="1" hidden="1" outlineLevel="2" x14ac:dyDescent="0.25">
      <c r="B75" s="203" t="s">
        <v>232</v>
      </c>
      <c r="C75" s="204" t="s">
        <v>124</v>
      </c>
      <c r="E75" s="214">
        <f t="shared" si="74"/>
        <v>0</v>
      </c>
      <c r="F75" s="214">
        <f t="shared" si="74"/>
        <v>45000</v>
      </c>
      <c r="G75" s="210">
        <f t="shared" si="74"/>
        <v>45000</v>
      </c>
      <c r="H75" s="214">
        <f t="shared" si="74"/>
        <v>0</v>
      </c>
      <c r="I75" s="214">
        <f t="shared" si="74"/>
        <v>0</v>
      </c>
      <c r="J75" s="214">
        <f t="shared" si="74"/>
        <v>0</v>
      </c>
      <c r="K75" s="214">
        <f t="shared" si="74"/>
        <v>0</v>
      </c>
      <c r="L75" s="436">
        <f t="shared" si="66"/>
        <v>0</v>
      </c>
      <c r="M75" s="214">
        <f t="shared" si="75"/>
        <v>0</v>
      </c>
      <c r="N75" s="214">
        <f t="shared" si="75"/>
        <v>0</v>
      </c>
      <c r="O75" s="214">
        <f t="shared" si="75"/>
        <v>0</v>
      </c>
      <c r="P75" s="214">
        <f t="shared" si="75"/>
        <v>0</v>
      </c>
      <c r="Q75" s="210">
        <f t="shared" si="67"/>
        <v>0</v>
      </c>
      <c r="R75" s="214">
        <f t="shared" si="76"/>
        <v>0</v>
      </c>
      <c r="S75" s="214">
        <f t="shared" si="76"/>
        <v>0</v>
      </c>
      <c r="T75" s="214">
        <f t="shared" si="76"/>
        <v>0</v>
      </c>
      <c r="U75" s="214">
        <f t="shared" si="76"/>
        <v>0</v>
      </c>
      <c r="V75" s="210">
        <f t="shared" si="68"/>
        <v>0</v>
      </c>
      <c r="W75" s="341">
        <f t="shared" si="77"/>
        <v>45000</v>
      </c>
      <c r="X75" s="224"/>
      <c r="Y75" s="218"/>
    </row>
    <row r="76" spans="2:34" s="202" customFormat="1" hidden="1" outlineLevel="2" x14ac:dyDescent="0.25">
      <c r="B76" s="203" t="s">
        <v>217</v>
      </c>
      <c r="C76" s="204" t="s">
        <v>76</v>
      </c>
      <c r="E76" s="431">
        <f t="shared" si="74"/>
        <v>0</v>
      </c>
      <c r="F76" s="431">
        <f t="shared" si="74"/>
        <v>425000</v>
      </c>
      <c r="G76" s="210">
        <f t="shared" si="74"/>
        <v>425000</v>
      </c>
      <c r="H76" s="431">
        <f t="shared" si="74"/>
        <v>0</v>
      </c>
      <c r="I76" s="431">
        <f t="shared" si="74"/>
        <v>0</v>
      </c>
      <c r="J76" s="431">
        <f t="shared" si="74"/>
        <v>0</v>
      </c>
      <c r="K76" s="431">
        <f t="shared" si="74"/>
        <v>0</v>
      </c>
      <c r="L76" s="436">
        <f t="shared" si="66"/>
        <v>0</v>
      </c>
      <c r="M76" s="431">
        <f t="shared" si="75"/>
        <v>0</v>
      </c>
      <c r="N76" s="431">
        <f t="shared" si="75"/>
        <v>0</v>
      </c>
      <c r="O76" s="431">
        <f t="shared" si="75"/>
        <v>0</v>
      </c>
      <c r="P76" s="431">
        <f t="shared" si="75"/>
        <v>0</v>
      </c>
      <c r="Q76" s="210">
        <f t="shared" si="67"/>
        <v>0</v>
      </c>
      <c r="R76" s="431">
        <f t="shared" si="76"/>
        <v>0</v>
      </c>
      <c r="S76" s="431">
        <f t="shared" si="76"/>
        <v>0</v>
      </c>
      <c r="T76" s="431">
        <f t="shared" si="76"/>
        <v>0</v>
      </c>
      <c r="U76" s="431">
        <f t="shared" si="76"/>
        <v>0</v>
      </c>
      <c r="V76" s="210">
        <f t="shared" si="68"/>
        <v>0</v>
      </c>
      <c r="W76" s="341">
        <f t="shared" si="77"/>
        <v>425000</v>
      </c>
      <c r="X76" s="224"/>
      <c r="Y76" s="216"/>
    </row>
    <row r="77" spans="2:34" s="202" customFormat="1" hidden="1" outlineLevel="2" x14ac:dyDescent="0.25">
      <c r="B77" s="203" t="s">
        <v>233</v>
      </c>
      <c r="C77" s="204" t="s">
        <v>219</v>
      </c>
      <c r="E77" s="283">
        <f t="shared" si="74"/>
        <v>0</v>
      </c>
      <c r="F77" s="283">
        <f t="shared" si="74"/>
        <v>25564.375</v>
      </c>
      <c r="G77" s="221">
        <f t="shared" si="74"/>
        <v>25564.375</v>
      </c>
      <c r="H77" s="283">
        <f t="shared" si="74"/>
        <v>19164.375</v>
      </c>
      <c r="I77" s="283">
        <f t="shared" si="74"/>
        <v>19164.375</v>
      </c>
      <c r="J77" s="283">
        <f t="shared" si="74"/>
        <v>19414.375</v>
      </c>
      <c r="K77" s="283">
        <f t="shared" si="74"/>
        <v>6914.375</v>
      </c>
      <c r="L77" s="437">
        <f t="shared" si="66"/>
        <v>64657.5</v>
      </c>
      <c r="M77" s="283">
        <f t="shared" si="75"/>
        <v>3500</v>
      </c>
      <c r="N77" s="283">
        <f t="shared" si="75"/>
        <v>3500</v>
      </c>
      <c r="O77" s="283">
        <f t="shared" si="75"/>
        <v>3500</v>
      </c>
      <c r="P77" s="283">
        <f t="shared" si="75"/>
        <v>3500</v>
      </c>
      <c r="Q77" s="221">
        <f t="shared" si="67"/>
        <v>14000</v>
      </c>
      <c r="R77" s="283">
        <f t="shared" si="76"/>
        <v>3500</v>
      </c>
      <c r="S77" s="283">
        <f t="shared" si="76"/>
        <v>3500</v>
      </c>
      <c r="T77" s="283">
        <f t="shared" si="76"/>
        <v>3500</v>
      </c>
      <c r="U77" s="283">
        <f t="shared" si="76"/>
        <v>3500</v>
      </c>
      <c r="V77" s="221">
        <f t="shared" si="68"/>
        <v>14000</v>
      </c>
      <c r="W77" s="354">
        <f t="shared" si="77"/>
        <v>118221.875</v>
      </c>
      <c r="X77" s="224"/>
      <c r="Y77" s="216"/>
    </row>
    <row r="78" spans="2:34" s="202" customFormat="1" hidden="1" outlineLevel="2" x14ac:dyDescent="0.25">
      <c r="B78" s="203" t="s">
        <v>106</v>
      </c>
      <c r="C78" s="204"/>
      <c r="E78" s="283">
        <f t="shared" si="74"/>
        <v>0</v>
      </c>
      <c r="F78" s="283">
        <f t="shared" si="74"/>
        <v>0</v>
      </c>
      <c r="G78" s="283">
        <f t="shared" si="74"/>
        <v>0</v>
      </c>
      <c r="H78" s="283">
        <f t="shared" si="74"/>
        <v>0</v>
      </c>
      <c r="I78" s="283">
        <f t="shared" si="74"/>
        <v>0</v>
      </c>
      <c r="J78" s="283">
        <f t="shared" si="74"/>
        <v>0</v>
      </c>
      <c r="K78" s="283">
        <f t="shared" si="74"/>
        <v>0</v>
      </c>
      <c r="L78" s="295">
        <f>L39</f>
        <v>0</v>
      </c>
      <c r="M78" s="283">
        <f t="shared" si="75"/>
        <v>0</v>
      </c>
      <c r="N78" s="283">
        <f t="shared" si="75"/>
        <v>0</v>
      </c>
      <c r="O78" s="283">
        <f t="shared" si="75"/>
        <v>0</v>
      </c>
      <c r="P78" s="283">
        <f t="shared" si="75"/>
        <v>0</v>
      </c>
      <c r="Q78" s="283">
        <f>Q39</f>
        <v>0</v>
      </c>
      <c r="R78" s="283">
        <f t="shared" si="76"/>
        <v>0</v>
      </c>
      <c r="S78" s="283">
        <f t="shared" si="76"/>
        <v>0</v>
      </c>
      <c r="T78" s="283">
        <f t="shared" si="76"/>
        <v>0</v>
      </c>
      <c r="U78" s="283">
        <f t="shared" si="76"/>
        <v>0</v>
      </c>
      <c r="V78" s="283">
        <f>V39</f>
        <v>0</v>
      </c>
      <c r="W78" s="295">
        <f t="shared" si="77"/>
        <v>0</v>
      </c>
      <c r="X78" s="296"/>
      <c r="Y78" s="216"/>
    </row>
    <row r="79" spans="2:34" s="202" customFormat="1" hidden="1" outlineLevel="2" x14ac:dyDescent="0.25">
      <c r="B79" s="203" t="s">
        <v>220</v>
      </c>
      <c r="C79" s="204" t="s">
        <v>221</v>
      </c>
      <c r="E79" s="283">
        <f t="shared" si="74"/>
        <v>0</v>
      </c>
      <c r="F79" s="283">
        <f t="shared" si="74"/>
        <v>0</v>
      </c>
      <c r="G79" s="221">
        <f t="shared" si="74"/>
        <v>0</v>
      </c>
      <c r="H79" s="283">
        <f t="shared" si="74"/>
        <v>0</v>
      </c>
      <c r="I79" s="283">
        <f t="shared" si="74"/>
        <v>12000</v>
      </c>
      <c r="J79" s="283">
        <f t="shared" si="74"/>
        <v>0</v>
      </c>
      <c r="K79" s="283">
        <f t="shared" si="74"/>
        <v>0</v>
      </c>
      <c r="L79" s="437">
        <f t="shared" si="66"/>
        <v>12000</v>
      </c>
      <c r="M79" s="283">
        <f t="shared" si="75"/>
        <v>0</v>
      </c>
      <c r="N79" s="283">
        <f t="shared" si="75"/>
        <v>12000</v>
      </c>
      <c r="O79" s="283">
        <f t="shared" si="75"/>
        <v>0</v>
      </c>
      <c r="P79" s="283">
        <f t="shared" si="75"/>
        <v>0</v>
      </c>
      <c r="Q79" s="221">
        <f t="shared" si="67"/>
        <v>12000</v>
      </c>
      <c r="R79" s="283">
        <f t="shared" si="76"/>
        <v>0</v>
      </c>
      <c r="S79" s="283">
        <f t="shared" si="76"/>
        <v>12000</v>
      </c>
      <c r="T79" s="283">
        <f t="shared" si="76"/>
        <v>0</v>
      </c>
      <c r="U79" s="283">
        <f t="shared" si="76"/>
        <v>0</v>
      </c>
      <c r="V79" s="221">
        <f t="shared" si="68"/>
        <v>12000</v>
      </c>
      <c r="W79" s="354">
        <f t="shared" si="77"/>
        <v>36000</v>
      </c>
      <c r="X79" s="224"/>
      <c r="Y79" s="216" t="s">
        <v>234</v>
      </c>
    </row>
    <row r="80" spans="2:34" s="202" customFormat="1" hidden="1" outlineLevel="2" x14ac:dyDescent="0.25">
      <c r="B80" s="203" t="s">
        <v>222</v>
      </c>
      <c r="C80" s="204" t="s">
        <v>223</v>
      </c>
      <c r="E80" s="204">
        <f t="shared" ref="E80:K80" si="78">E42</f>
        <v>0</v>
      </c>
      <c r="F80" s="204">
        <f t="shared" si="78"/>
        <v>25000</v>
      </c>
      <c r="G80" s="221">
        <f t="shared" si="78"/>
        <v>25000</v>
      </c>
      <c r="H80" s="204">
        <f t="shared" si="78"/>
        <v>25000</v>
      </c>
      <c r="I80" s="204">
        <f t="shared" si="78"/>
        <v>25000</v>
      </c>
      <c r="J80" s="204">
        <f t="shared" si="78"/>
        <v>25000</v>
      </c>
      <c r="K80" s="204">
        <f t="shared" si="78"/>
        <v>25000</v>
      </c>
      <c r="L80" s="437">
        <f t="shared" si="66"/>
        <v>100000</v>
      </c>
      <c r="M80" s="204">
        <f>M42</f>
        <v>25000</v>
      </c>
      <c r="N80" s="204">
        <f>N42</f>
        <v>25000</v>
      </c>
      <c r="O80" s="204">
        <f>O42</f>
        <v>25000</v>
      </c>
      <c r="P80" s="204">
        <f>P42</f>
        <v>25000</v>
      </c>
      <c r="Q80" s="221">
        <f t="shared" si="67"/>
        <v>100000</v>
      </c>
      <c r="R80" s="204">
        <f>R42</f>
        <v>25000</v>
      </c>
      <c r="S80" s="204">
        <f>S42</f>
        <v>25000</v>
      </c>
      <c r="T80" s="204">
        <f>T42</f>
        <v>25000</v>
      </c>
      <c r="U80" s="204">
        <f>U42</f>
        <v>25000</v>
      </c>
      <c r="V80" s="221">
        <f t="shared" si="68"/>
        <v>100000</v>
      </c>
      <c r="W80" s="354">
        <f>W42</f>
        <v>325000</v>
      </c>
      <c r="X80" s="224"/>
      <c r="Y80" s="216"/>
    </row>
    <row r="81" spans="1:41" s="202" customFormat="1" hidden="1" outlineLevel="2" x14ac:dyDescent="0.25">
      <c r="B81" s="219" t="s">
        <v>224</v>
      </c>
      <c r="C81" s="204"/>
      <c r="E81" s="259">
        <f t="shared" ref="E81:K81" si="79">SUM(E69:E80)</f>
        <v>43750</v>
      </c>
      <c r="F81" s="259">
        <f t="shared" si="79"/>
        <v>1222927.1810065024</v>
      </c>
      <c r="G81" s="259">
        <f t="shared" si="79"/>
        <v>1266677.1810065024</v>
      </c>
      <c r="H81" s="259">
        <f t="shared" si="79"/>
        <v>973320.16225650231</v>
      </c>
      <c r="I81" s="259">
        <f t="shared" si="79"/>
        <v>902412.66225650231</v>
      </c>
      <c r="J81" s="259">
        <f t="shared" si="79"/>
        <v>960274.48933983571</v>
      </c>
      <c r="K81" s="259">
        <f t="shared" si="79"/>
        <v>910138.65600650234</v>
      </c>
      <c r="L81" s="443">
        <f>SUM(H81:K81)</f>
        <v>3746145.9698593426</v>
      </c>
      <c r="M81" s="259">
        <f>SUM(M69:M80)</f>
        <v>939599.23180682748</v>
      </c>
      <c r="N81" s="259">
        <f>SUM(N69:N80)</f>
        <v>937432.5151401608</v>
      </c>
      <c r="O81" s="259">
        <f>SUM(O69:O80)</f>
        <v>925432.5151401608</v>
      </c>
      <c r="P81" s="259">
        <f>SUM(P69:P80)</f>
        <v>925432.5151401608</v>
      </c>
      <c r="Q81" s="262">
        <f t="shared" si="67"/>
        <v>3727896.77722731</v>
      </c>
      <c r="R81" s="259">
        <f>SUM(R69:R80)</f>
        <v>959951.20310550218</v>
      </c>
      <c r="S81" s="259">
        <f>SUM(S69:S80)</f>
        <v>971951.14560550218</v>
      </c>
      <c r="T81" s="259">
        <f>SUM(T69:T80)</f>
        <v>959951.14560550218</v>
      </c>
      <c r="U81" s="259">
        <f>SUM(U69:U80)</f>
        <v>952867.81227216893</v>
      </c>
      <c r="V81" s="262">
        <f t="shared" si="68"/>
        <v>3844721.3065886758</v>
      </c>
      <c r="W81" s="297">
        <f>SUM(W69:W80)</f>
        <v>12585441.23468183</v>
      </c>
      <c r="X81" s="298"/>
      <c r="Y81" s="216"/>
    </row>
    <row r="82" spans="1:41" hidden="1" outlineLevel="1" collapsed="1" x14ac:dyDescent="0.25">
      <c r="B82" s="299" t="s">
        <v>249</v>
      </c>
      <c r="C82" s="300"/>
      <c r="D82" s="301"/>
      <c r="E82" s="301">
        <f>+E44+E57</f>
        <v>43750</v>
      </c>
      <c r="F82" s="301">
        <f t="shared" ref="F82:W82" si="80">+F44+F57</f>
        <v>1486930.4310065026</v>
      </c>
      <c r="G82" s="301">
        <f t="shared" si="80"/>
        <v>1530680.3310065025</v>
      </c>
      <c r="H82" s="301">
        <f t="shared" si="80"/>
        <v>973320.01225650241</v>
      </c>
      <c r="I82" s="301">
        <f t="shared" si="80"/>
        <v>902412.51225650241</v>
      </c>
      <c r="J82" s="301">
        <f t="shared" si="80"/>
        <v>960274.33933983569</v>
      </c>
      <c r="K82" s="301">
        <f t="shared" si="80"/>
        <v>910138.50600650231</v>
      </c>
      <c r="L82" s="302">
        <f t="shared" si="80"/>
        <v>3746144.5198593428</v>
      </c>
      <c r="M82" s="301">
        <f t="shared" si="80"/>
        <v>939599.03180682752</v>
      </c>
      <c r="N82" s="301">
        <f t="shared" si="80"/>
        <v>937432.36514016078</v>
      </c>
      <c r="O82" s="301">
        <f t="shared" si="80"/>
        <v>925432.36514016078</v>
      </c>
      <c r="P82" s="301">
        <f t="shared" si="80"/>
        <v>925432.36514016078</v>
      </c>
      <c r="Q82" s="301">
        <f t="shared" si="80"/>
        <v>3727895.2772273095</v>
      </c>
      <c r="R82" s="301">
        <f t="shared" si="80"/>
        <v>959951.00310550211</v>
      </c>
      <c r="S82" s="301">
        <f t="shared" si="80"/>
        <v>971950.99560550216</v>
      </c>
      <c r="T82" s="301">
        <f t="shared" si="80"/>
        <v>959950.99560550216</v>
      </c>
      <c r="U82" s="301">
        <f t="shared" si="80"/>
        <v>952867.66227216879</v>
      </c>
      <c r="V82" s="301">
        <f t="shared" si="80"/>
        <v>3844719.8065886754</v>
      </c>
      <c r="W82" s="301">
        <f t="shared" si="80"/>
        <v>12849439.934681831</v>
      </c>
      <c r="X82" s="224"/>
    </row>
    <row r="83" spans="1:41" s="303" customFormat="1" hidden="1" outlineLevel="1" collapsed="1" x14ac:dyDescent="0.25">
      <c r="B83" s="304" t="s">
        <v>225</v>
      </c>
      <c r="C83" s="305"/>
      <c r="D83" s="195"/>
      <c r="E83" s="270">
        <f>E82-SUM(E69:E80)-E59-E60</f>
        <v>0</v>
      </c>
      <c r="F83" s="270">
        <f>F82-SUM(F69:F80)-F59-F60</f>
        <v>-0.14999999979045242</v>
      </c>
      <c r="G83" s="270">
        <f t="shared" ref="G83:W83" si="81">G82-SUM(G69:G80)-G59-G60</f>
        <v>-0.24999999988358468</v>
      </c>
      <c r="H83" s="270">
        <f t="shared" si="81"/>
        <v>-0.14999999990686774</v>
      </c>
      <c r="I83" s="270">
        <f t="shared" si="81"/>
        <v>-0.14999999990686774</v>
      </c>
      <c r="J83" s="270">
        <f t="shared" si="81"/>
        <v>-0.15000000002328306</v>
      </c>
      <c r="K83" s="270">
        <f t="shared" si="81"/>
        <v>-0.15000000002328306</v>
      </c>
      <c r="L83" s="389">
        <f t="shared" si="81"/>
        <v>-1.4499999997206032</v>
      </c>
      <c r="M83" s="270">
        <f t="shared" si="81"/>
        <v>-0.19999999995343387</v>
      </c>
      <c r="N83" s="270">
        <f t="shared" si="81"/>
        <v>-0.15000000002328306</v>
      </c>
      <c r="O83" s="270">
        <f t="shared" si="81"/>
        <v>-0.15000000002328306</v>
      </c>
      <c r="P83" s="270">
        <f t="shared" si="81"/>
        <v>-0.15000000002328306</v>
      </c>
      <c r="Q83" s="270">
        <f t="shared" si="81"/>
        <v>-1.5000000004656613</v>
      </c>
      <c r="R83" s="270">
        <f t="shared" si="81"/>
        <v>-0.20000000006984919</v>
      </c>
      <c r="S83" s="270">
        <f t="shared" si="81"/>
        <v>-0.15000000002328306</v>
      </c>
      <c r="T83" s="270">
        <f t="shared" si="81"/>
        <v>-0.15000000002328306</v>
      </c>
      <c r="U83" s="270">
        <f t="shared" si="81"/>
        <v>-0.15000000013969839</v>
      </c>
      <c r="V83" s="270">
        <f t="shared" si="81"/>
        <v>-1.5000000004656613</v>
      </c>
      <c r="W83" s="270">
        <f t="shared" si="81"/>
        <v>-4.699999998905696</v>
      </c>
      <c r="X83" s="224"/>
      <c r="Y83" s="170"/>
    </row>
    <row r="84" spans="1:41" ht="15.75" collapsed="1" thickBot="1" x14ac:dyDescent="0.3">
      <c r="B84" s="314" t="s">
        <v>315</v>
      </c>
      <c r="C84" s="315"/>
      <c r="D84" s="316"/>
      <c r="E84" s="317">
        <f t="shared" ref="E84:W84" si="82">(E22+E24+E26+E31+E32+E35+E42+E55+E56+E39+E40+E38+E48+E50+E52+E27+E53)</f>
        <v>0</v>
      </c>
      <c r="F84" s="317">
        <f t="shared" si="82"/>
        <v>662926.78100650234</v>
      </c>
      <c r="G84" s="317">
        <f t="shared" si="82"/>
        <v>662926.78100650234</v>
      </c>
      <c r="H84" s="317">
        <f t="shared" si="82"/>
        <v>973319.76225650241</v>
      </c>
      <c r="I84" s="317">
        <f t="shared" si="82"/>
        <v>902412.26225650241</v>
      </c>
      <c r="J84" s="317">
        <f t="shared" si="82"/>
        <v>960274.08933983569</v>
      </c>
      <c r="K84" s="317">
        <f t="shared" si="82"/>
        <v>910138.25600650231</v>
      </c>
      <c r="L84" s="434">
        <f t="shared" si="82"/>
        <v>3746144.3698593429</v>
      </c>
      <c r="M84" s="334">
        <f t="shared" si="82"/>
        <v>939598.78180682741</v>
      </c>
      <c r="N84" s="334">
        <f t="shared" si="82"/>
        <v>937432.11514016078</v>
      </c>
      <c r="O84" s="334">
        <f t="shared" si="82"/>
        <v>925432.11514016078</v>
      </c>
      <c r="P84" s="334">
        <f t="shared" si="82"/>
        <v>925432.11514016078</v>
      </c>
      <c r="Q84" s="334">
        <f t="shared" si="82"/>
        <v>3727895.1272273096</v>
      </c>
      <c r="R84" s="334">
        <f t="shared" si="82"/>
        <v>959950.75310550211</v>
      </c>
      <c r="S84" s="334">
        <f t="shared" si="82"/>
        <v>971950.74560550228</v>
      </c>
      <c r="T84" s="334">
        <f t="shared" si="82"/>
        <v>959950.74560550228</v>
      </c>
      <c r="U84" s="334">
        <f t="shared" si="82"/>
        <v>952867.41227216891</v>
      </c>
      <c r="V84" s="334">
        <f t="shared" si="82"/>
        <v>3844719.656588675</v>
      </c>
      <c r="W84" s="318">
        <f t="shared" si="82"/>
        <v>11981685.934681833</v>
      </c>
      <c r="X84" s="313"/>
    </row>
    <row r="85" spans="1:41" ht="15.75" outlineLevel="1" thickBot="1" x14ac:dyDescent="0.3">
      <c r="A85" s="179"/>
      <c r="B85" s="179"/>
      <c r="C85" s="287"/>
      <c r="D85" s="179"/>
      <c r="E85" s="287"/>
      <c r="F85" s="287"/>
      <c r="G85" s="287"/>
      <c r="H85" s="287"/>
      <c r="I85" s="287"/>
      <c r="J85" s="287"/>
      <c r="K85" s="287"/>
      <c r="L85" s="287"/>
      <c r="M85" s="287"/>
      <c r="N85" s="287"/>
      <c r="O85" s="287"/>
      <c r="P85" s="287"/>
      <c r="Q85" s="287"/>
      <c r="R85" s="287"/>
      <c r="S85" s="287"/>
      <c r="T85" s="287"/>
      <c r="U85" s="287"/>
      <c r="V85" s="287"/>
      <c r="W85" s="287">
        <f>G85+L85+Q85+V85</f>
        <v>0</v>
      </c>
      <c r="X85" s="305"/>
    </row>
    <row r="86" spans="1:41" s="202" customFormat="1" x14ac:dyDescent="0.25">
      <c r="B86" s="368" t="s">
        <v>254</v>
      </c>
      <c r="C86" s="369"/>
      <c r="D86" s="370"/>
      <c r="E86" s="371"/>
      <c r="F86" s="371"/>
      <c r="G86" s="371"/>
      <c r="H86" s="371"/>
      <c r="I86" s="371"/>
      <c r="J86" s="371"/>
      <c r="K86" s="371"/>
      <c r="L86" s="372"/>
      <c r="M86" s="371"/>
      <c r="N86" s="371"/>
      <c r="O86" s="371"/>
      <c r="P86" s="371"/>
      <c r="Q86" s="382"/>
      <c r="R86" s="371"/>
      <c r="S86" s="371"/>
      <c r="T86" s="371"/>
      <c r="U86" s="371"/>
      <c r="V86" s="383"/>
      <c r="W86" s="372"/>
      <c r="X86" s="211"/>
      <c r="Y86" s="216"/>
    </row>
    <row r="87" spans="1:41" s="202" customFormat="1" ht="14.45" hidden="1" customHeight="1" outlineLevel="1" x14ac:dyDescent="0.25">
      <c r="B87" s="306" t="s">
        <v>217</v>
      </c>
      <c r="C87" s="214" t="s">
        <v>76</v>
      </c>
      <c r="D87" s="307"/>
      <c r="E87" s="244"/>
      <c r="F87" s="245">
        <f>F37</f>
        <v>425000</v>
      </c>
      <c r="G87" s="245">
        <f>SUM(E87:F87)</f>
        <v>425000</v>
      </c>
      <c r="H87" s="245"/>
      <c r="I87" s="245"/>
      <c r="J87" s="245"/>
      <c r="K87" s="245"/>
      <c r="L87" s="373">
        <f>SUM(H87:K87)</f>
        <v>0</v>
      </c>
      <c r="M87" s="245"/>
      <c r="N87" s="245"/>
      <c r="O87" s="245"/>
      <c r="P87" s="245"/>
      <c r="Q87" s="384">
        <f>SUM(M87:P87)</f>
        <v>0</v>
      </c>
      <c r="R87" s="245"/>
      <c r="S87" s="245"/>
      <c r="T87" s="245"/>
      <c r="U87" s="245"/>
      <c r="V87" s="308">
        <f>SUM(R87:U87)</f>
        <v>0</v>
      </c>
      <c r="W87" s="373">
        <f>G87+L87+Q87+V87</f>
        <v>425000</v>
      </c>
      <c r="X87" s="211"/>
      <c r="Y87" s="216"/>
    </row>
    <row r="88" spans="1:41" s="202" customFormat="1" ht="14.45" hidden="1" customHeight="1" outlineLevel="1" x14ac:dyDescent="0.25">
      <c r="B88" s="338" t="s">
        <v>250</v>
      </c>
      <c r="C88" s="335" t="s">
        <v>242</v>
      </c>
      <c r="D88" s="307"/>
      <c r="E88" s="244">
        <f>E33</f>
        <v>43750</v>
      </c>
      <c r="F88" s="279"/>
      <c r="G88" s="245">
        <f>SUM(E88:F88)</f>
        <v>43750</v>
      </c>
      <c r="H88" s="245"/>
      <c r="I88" s="245"/>
      <c r="J88" s="245"/>
      <c r="K88" s="245"/>
      <c r="L88" s="373"/>
      <c r="M88" s="245"/>
      <c r="N88" s="245"/>
      <c r="O88" s="245"/>
      <c r="P88" s="245"/>
      <c r="Q88" s="385"/>
      <c r="R88" s="245"/>
      <c r="S88" s="245"/>
      <c r="T88" s="245"/>
      <c r="U88" s="245"/>
      <c r="V88" s="308"/>
      <c r="W88" s="373">
        <f>G88+L88+Q88+V88</f>
        <v>43750</v>
      </c>
      <c r="X88" s="211"/>
      <c r="Y88" s="218"/>
    </row>
    <row r="89" spans="1:41" s="202" customFormat="1" collapsed="1" x14ac:dyDescent="0.25">
      <c r="B89" s="309" t="s">
        <v>255</v>
      </c>
      <c r="C89" s="214"/>
      <c r="D89" s="307"/>
      <c r="E89" s="310">
        <f>SUM(E87:E88)</f>
        <v>43750</v>
      </c>
      <c r="F89" s="310">
        <f t="shared" ref="F89:W89" si="83">SUM(F87:F88)</f>
        <v>425000</v>
      </c>
      <c r="G89" s="310">
        <f t="shared" si="83"/>
        <v>468750</v>
      </c>
      <c r="H89" s="310">
        <f t="shared" si="83"/>
        <v>0</v>
      </c>
      <c r="I89" s="310">
        <f t="shared" si="83"/>
        <v>0</v>
      </c>
      <c r="J89" s="310">
        <f t="shared" si="83"/>
        <v>0</v>
      </c>
      <c r="K89" s="310">
        <f t="shared" si="83"/>
        <v>0</v>
      </c>
      <c r="L89" s="311">
        <f t="shared" si="83"/>
        <v>0</v>
      </c>
      <c r="M89" s="310">
        <f t="shared" si="83"/>
        <v>0</v>
      </c>
      <c r="N89" s="310">
        <f t="shared" si="83"/>
        <v>0</v>
      </c>
      <c r="O89" s="310">
        <f t="shared" si="83"/>
        <v>0</v>
      </c>
      <c r="P89" s="310">
        <f t="shared" si="83"/>
        <v>0</v>
      </c>
      <c r="Q89" s="386">
        <f t="shared" si="83"/>
        <v>0</v>
      </c>
      <c r="R89" s="310">
        <f t="shared" si="83"/>
        <v>0</v>
      </c>
      <c r="S89" s="310">
        <f t="shared" si="83"/>
        <v>0</v>
      </c>
      <c r="T89" s="310">
        <f t="shared" si="83"/>
        <v>0</v>
      </c>
      <c r="U89" s="310">
        <f t="shared" si="83"/>
        <v>0</v>
      </c>
      <c r="V89" s="381">
        <f t="shared" si="83"/>
        <v>0</v>
      </c>
      <c r="W89" s="311">
        <f t="shared" si="83"/>
        <v>468750</v>
      </c>
      <c r="X89" s="211"/>
      <c r="Y89" s="216"/>
    </row>
    <row r="90" spans="1:41" s="202" customFormat="1" ht="14.45" hidden="1" customHeight="1" outlineLevel="1" x14ac:dyDescent="0.25">
      <c r="B90" s="306" t="s">
        <v>197</v>
      </c>
      <c r="C90" s="335" t="s">
        <v>195</v>
      </c>
      <c r="D90" s="307"/>
      <c r="E90" s="244"/>
      <c r="F90" s="279">
        <f>F16</f>
        <v>100000</v>
      </c>
      <c r="G90" s="245">
        <f t="shared" ref="G90" si="84">SUM(E90:F90)</f>
        <v>100000</v>
      </c>
      <c r="H90" s="245"/>
      <c r="I90" s="245"/>
      <c r="J90" s="245"/>
      <c r="K90" s="245"/>
      <c r="L90" s="373"/>
      <c r="M90" s="245"/>
      <c r="N90" s="245"/>
      <c r="O90" s="245"/>
      <c r="P90" s="245"/>
      <c r="Q90" s="385"/>
      <c r="R90" s="245"/>
      <c r="S90" s="245"/>
      <c r="T90" s="245"/>
      <c r="U90" s="245"/>
      <c r="V90" s="308"/>
      <c r="W90" s="373">
        <f>G90+L90+Q90+V90</f>
        <v>100000</v>
      </c>
      <c r="X90" s="211"/>
      <c r="Y90" s="457" t="s">
        <v>268</v>
      </c>
      <c r="Z90" s="457"/>
      <c r="AA90" s="457"/>
      <c r="AB90" s="457"/>
      <c r="AC90" s="457"/>
      <c r="AD90" s="457"/>
      <c r="AE90" s="457"/>
      <c r="AF90" s="457"/>
      <c r="AG90" s="457"/>
      <c r="AH90" s="457"/>
      <c r="AI90" s="457"/>
      <c r="AJ90" s="457"/>
      <c r="AK90" s="457"/>
      <c r="AL90" s="457"/>
      <c r="AM90" s="457"/>
      <c r="AN90" s="457"/>
      <c r="AO90" s="457"/>
    </row>
    <row r="91" spans="1:41" s="202" customFormat="1" hidden="1" outlineLevel="1" x14ac:dyDescent="0.25">
      <c r="B91" s="306" t="s">
        <v>270</v>
      </c>
      <c r="C91" s="214"/>
      <c r="D91" s="307"/>
      <c r="E91" s="431">
        <f>E17</f>
        <v>0</v>
      </c>
      <c r="F91" s="431">
        <f t="shared" ref="F91:W91" si="85">F17</f>
        <v>164003.40000000002</v>
      </c>
      <c r="G91" s="431">
        <f t="shared" si="85"/>
        <v>164003.40000000002</v>
      </c>
      <c r="H91" s="431">
        <f t="shared" si="85"/>
        <v>0</v>
      </c>
      <c r="I91" s="431">
        <f t="shared" si="85"/>
        <v>0</v>
      </c>
      <c r="J91" s="431">
        <f t="shared" si="85"/>
        <v>0</v>
      </c>
      <c r="K91" s="431">
        <f t="shared" si="85"/>
        <v>0</v>
      </c>
      <c r="L91" s="432">
        <f t="shared" si="85"/>
        <v>0</v>
      </c>
      <c r="M91" s="431">
        <f t="shared" si="85"/>
        <v>0</v>
      </c>
      <c r="N91" s="431">
        <f t="shared" si="85"/>
        <v>0</v>
      </c>
      <c r="O91" s="431">
        <f t="shared" si="85"/>
        <v>0</v>
      </c>
      <c r="P91" s="431">
        <f t="shared" si="85"/>
        <v>0</v>
      </c>
      <c r="Q91" s="433">
        <f t="shared" si="85"/>
        <v>0</v>
      </c>
      <c r="R91" s="431">
        <f t="shared" si="85"/>
        <v>0</v>
      </c>
      <c r="S91" s="431">
        <f t="shared" si="85"/>
        <v>0</v>
      </c>
      <c r="T91" s="431">
        <f t="shared" si="85"/>
        <v>0</v>
      </c>
      <c r="U91" s="431">
        <f t="shared" si="85"/>
        <v>0</v>
      </c>
      <c r="V91" s="435">
        <f t="shared" si="85"/>
        <v>0</v>
      </c>
      <c r="W91" s="432">
        <f t="shared" si="85"/>
        <v>164003.40000000002</v>
      </c>
      <c r="X91" s="211"/>
      <c r="Y91" s="216"/>
    </row>
    <row r="92" spans="1:41" s="202" customFormat="1" hidden="1" outlineLevel="1" x14ac:dyDescent="0.25">
      <c r="B92" s="306" t="s">
        <v>214</v>
      </c>
      <c r="C92" s="335" t="s">
        <v>245</v>
      </c>
      <c r="D92" s="307"/>
      <c r="E92" s="244">
        <f t="shared" ref="E92:V92" si="86">E34</f>
        <v>0</v>
      </c>
      <c r="F92" s="245">
        <f t="shared" si="86"/>
        <v>90000</v>
      </c>
      <c r="G92" s="245">
        <f t="shared" si="86"/>
        <v>90000</v>
      </c>
      <c r="H92" s="245">
        <f t="shared" si="86"/>
        <v>0</v>
      </c>
      <c r="I92" s="245">
        <f t="shared" si="86"/>
        <v>0</v>
      </c>
      <c r="J92" s="245">
        <f t="shared" si="86"/>
        <v>0</v>
      </c>
      <c r="K92" s="245">
        <f t="shared" si="86"/>
        <v>0</v>
      </c>
      <c r="L92" s="373">
        <f t="shared" si="86"/>
        <v>0</v>
      </c>
      <c r="M92" s="245">
        <f t="shared" si="86"/>
        <v>0</v>
      </c>
      <c r="N92" s="245">
        <f t="shared" si="86"/>
        <v>0</v>
      </c>
      <c r="O92" s="245">
        <f t="shared" si="86"/>
        <v>0</v>
      </c>
      <c r="P92" s="245">
        <f t="shared" si="86"/>
        <v>0</v>
      </c>
      <c r="Q92" s="385">
        <f t="shared" si="86"/>
        <v>0</v>
      </c>
      <c r="R92" s="245">
        <f t="shared" si="86"/>
        <v>0</v>
      </c>
      <c r="S92" s="245">
        <f t="shared" si="86"/>
        <v>0</v>
      </c>
      <c r="T92" s="245">
        <f t="shared" si="86"/>
        <v>0</v>
      </c>
      <c r="U92" s="245">
        <f t="shared" si="86"/>
        <v>0</v>
      </c>
      <c r="V92" s="308">
        <f t="shared" si="86"/>
        <v>0</v>
      </c>
      <c r="W92" s="373">
        <f>G92+L92+Q92+V92</f>
        <v>90000</v>
      </c>
      <c r="X92" s="211"/>
      <c r="AA92" s="215"/>
    </row>
    <row r="93" spans="1:41" s="202" customFormat="1" hidden="1" outlineLevel="1" x14ac:dyDescent="0.25">
      <c r="B93" s="306" t="s">
        <v>232</v>
      </c>
      <c r="C93" s="214" t="s">
        <v>124</v>
      </c>
      <c r="D93" s="307"/>
      <c r="E93" s="244"/>
      <c r="F93" s="245">
        <f>F36</f>
        <v>45000</v>
      </c>
      <c r="G93" s="245">
        <f>SUM(E93:F93)</f>
        <v>45000</v>
      </c>
      <c r="H93" s="245"/>
      <c r="I93" s="245"/>
      <c r="J93" s="245"/>
      <c r="K93" s="245"/>
      <c r="L93" s="373">
        <f t="shared" ref="L93" si="87">SUM(H93:K93)</f>
        <v>0</v>
      </c>
      <c r="M93" s="245"/>
      <c r="N93" s="245"/>
      <c r="O93" s="245"/>
      <c r="P93" s="245"/>
      <c r="Q93" s="385">
        <f t="shared" ref="Q93" si="88">SUM(M93:P93)</f>
        <v>0</v>
      </c>
      <c r="R93" s="245"/>
      <c r="S93" s="245"/>
      <c r="T93" s="245"/>
      <c r="U93" s="245"/>
      <c r="V93" s="308">
        <f t="shared" ref="V93" si="89">SUM(R93:U93)</f>
        <v>0</v>
      </c>
      <c r="W93" s="373">
        <f>G93+L93+Q93+V93</f>
        <v>45000</v>
      </c>
      <c r="X93" s="211"/>
      <c r="Y93" s="218"/>
    </row>
    <row r="94" spans="1:41" s="202" customFormat="1" collapsed="1" x14ac:dyDescent="0.25">
      <c r="B94" s="309" t="s">
        <v>256</v>
      </c>
      <c r="C94" s="214"/>
      <c r="D94" s="307"/>
      <c r="E94" s="310">
        <f t="shared" ref="E94:V94" si="90">SUM(E90:E93)</f>
        <v>0</v>
      </c>
      <c r="F94" s="310">
        <f t="shared" si="90"/>
        <v>399003.4</v>
      </c>
      <c r="G94" s="310">
        <f t="shared" si="90"/>
        <v>399003.4</v>
      </c>
      <c r="H94" s="310">
        <f t="shared" si="90"/>
        <v>0</v>
      </c>
      <c r="I94" s="310">
        <f t="shared" si="90"/>
        <v>0</v>
      </c>
      <c r="J94" s="310">
        <f t="shared" si="90"/>
        <v>0</v>
      </c>
      <c r="K94" s="310">
        <f t="shared" si="90"/>
        <v>0</v>
      </c>
      <c r="L94" s="311">
        <f t="shared" si="90"/>
        <v>0</v>
      </c>
      <c r="M94" s="310">
        <f t="shared" si="90"/>
        <v>0</v>
      </c>
      <c r="N94" s="310">
        <f t="shared" si="90"/>
        <v>0</v>
      </c>
      <c r="O94" s="310">
        <f t="shared" si="90"/>
        <v>0</v>
      </c>
      <c r="P94" s="310">
        <f t="shared" si="90"/>
        <v>0</v>
      </c>
      <c r="Q94" s="386">
        <f t="shared" si="90"/>
        <v>0</v>
      </c>
      <c r="R94" s="310">
        <f t="shared" si="90"/>
        <v>0</v>
      </c>
      <c r="S94" s="310">
        <f t="shared" si="90"/>
        <v>0</v>
      </c>
      <c r="T94" s="310">
        <f t="shared" si="90"/>
        <v>0</v>
      </c>
      <c r="U94" s="310">
        <f t="shared" si="90"/>
        <v>0</v>
      </c>
      <c r="V94" s="381">
        <f t="shared" si="90"/>
        <v>0</v>
      </c>
      <c r="W94" s="311">
        <f t="shared" ref="W94" si="91">SUM(W90:W93)</f>
        <v>399003.4</v>
      </c>
      <c r="X94" s="211"/>
      <c r="Y94" s="294"/>
    </row>
    <row r="95" spans="1:41" ht="15.75" thickBot="1" x14ac:dyDescent="0.3">
      <c r="B95" s="374" t="s">
        <v>235</v>
      </c>
      <c r="C95" s="375"/>
      <c r="D95" s="376"/>
      <c r="E95" s="377">
        <f t="shared" ref="E95:V95" si="92">E94+E89</f>
        <v>43750</v>
      </c>
      <c r="F95" s="377">
        <f>F94+F89</f>
        <v>824003.4</v>
      </c>
      <c r="G95" s="334">
        <f t="shared" si="92"/>
        <v>867753.4</v>
      </c>
      <c r="H95" s="377">
        <f t="shared" si="92"/>
        <v>0</v>
      </c>
      <c r="I95" s="377">
        <f t="shared" si="92"/>
        <v>0</v>
      </c>
      <c r="J95" s="377">
        <f t="shared" si="92"/>
        <v>0</v>
      </c>
      <c r="K95" s="377">
        <f t="shared" si="92"/>
        <v>0</v>
      </c>
      <c r="L95" s="378">
        <f t="shared" si="92"/>
        <v>0</v>
      </c>
      <c r="M95" s="377">
        <f t="shared" si="92"/>
        <v>0</v>
      </c>
      <c r="N95" s="377">
        <f t="shared" si="92"/>
        <v>0</v>
      </c>
      <c r="O95" s="377">
        <f t="shared" si="92"/>
        <v>0</v>
      </c>
      <c r="P95" s="377">
        <f t="shared" si="92"/>
        <v>0</v>
      </c>
      <c r="Q95" s="387">
        <f t="shared" si="92"/>
        <v>0</v>
      </c>
      <c r="R95" s="377">
        <f t="shared" si="92"/>
        <v>0</v>
      </c>
      <c r="S95" s="377">
        <f t="shared" si="92"/>
        <v>0</v>
      </c>
      <c r="T95" s="377">
        <f t="shared" si="92"/>
        <v>0</v>
      </c>
      <c r="U95" s="377">
        <f t="shared" si="92"/>
        <v>0</v>
      </c>
      <c r="V95" s="388">
        <f t="shared" si="92"/>
        <v>0</v>
      </c>
      <c r="W95" s="434">
        <f t="shared" ref="W95" si="93">W94+W89</f>
        <v>867753.4</v>
      </c>
      <c r="X95" s="312"/>
      <c r="Y95" s="294"/>
    </row>
    <row r="96" spans="1:41" hidden="1" outlineLevel="1" x14ac:dyDescent="0.25">
      <c r="A96" s="179"/>
      <c r="B96" s="319" t="s">
        <v>225</v>
      </c>
      <c r="C96" s="287"/>
      <c r="D96" s="179"/>
      <c r="E96" s="380">
        <f>E95-E37-E36-E33-E34-E16-E17</f>
        <v>0</v>
      </c>
      <c r="F96" s="380">
        <f t="shared" ref="F96:W96" si="94">F95-F37-F36-F33-F34-F16-F17</f>
        <v>0</v>
      </c>
      <c r="G96" s="380">
        <f t="shared" si="94"/>
        <v>0</v>
      </c>
      <c r="H96" s="380">
        <f t="shared" si="94"/>
        <v>0</v>
      </c>
      <c r="I96" s="380">
        <f t="shared" si="94"/>
        <v>0</v>
      </c>
      <c r="J96" s="380">
        <f t="shared" si="94"/>
        <v>0</v>
      </c>
      <c r="K96" s="380">
        <f t="shared" si="94"/>
        <v>0</v>
      </c>
      <c r="L96" s="380">
        <f t="shared" si="94"/>
        <v>0</v>
      </c>
      <c r="M96" s="380">
        <f t="shared" si="94"/>
        <v>0</v>
      </c>
      <c r="N96" s="380">
        <f t="shared" si="94"/>
        <v>0</v>
      </c>
      <c r="O96" s="380">
        <f t="shared" si="94"/>
        <v>0</v>
      </c>
      <c r="P96" s="380">
        <f t="shared" si="94"/>
        <v>0</v>
      </c>
      <c r="Q96" s="380">
        <f t="shared" si="94"/>
        <v>0</v>
      </c>
      <c r="R96" s="380">
        <f t="shared" si="94"/>
        <v>0</v>
      </c>
      <c r="S96" s="380">
        <f t="shared" si="94"/>
        <v>0</v>
      </c>
      <c r="T96" s="380">
        <f t="shared" si="94"/>
        <v>0</v>
      </c>
      <c r="U96" s="380">
        <f t="shared" si="94"/>
        <v>0</v>
      </c>
      <c r="V96" s="380">
        <f t="shared" si="94"/>
        <v>0</v>
      </c>
      <c r="W96" s="380">
        <f t="shared" si="94"/>
        <v>0</v>
      </c>
      <c r="X96" s="380"/>
    </row>
    <row r="97" spans="2:34" hidden="1" outlineLevel="1" x14ac:dyDescent="0.25">
      <c r="B97" s="319" t="s">
        <v>225</v>
      </c>
      <c r="E97" s="320">
        <f>E82-E95-E84</f>
        <v>0</v>
      </c>
      <c r="F97" s="320">
        <f>F82-F95-F84</f>
        <v>0.25000000023283064</v>
      </c>
      <c r="G97" s="320">
        <f t="shared" ref="G97:U97" si="95">G82-G95-G84</f>
        <v>0.15000000013969839</v>
      </c>
      <c r="H97" s="320">
        <f t="shared" si="95"/>
        <v>0.25</v>
      </c>
      <c r="I97" s="320">
        <f t="shared" si="95"/>
        <v>0.25</v>
      </c>
      <c r="J97" s="320">
        <f t="shared" si="95"/>
        <v>0.25</v>
      </c>
      <c r="K97" s="320">
        <f t="shared" si="95"/>
        <v>0.25</v>
      </c>
      <c r="L97" s="320">
        <f t="shared" si="95"/>
        <v>0.14999999990686774</v>
      </c>
      <c r="M97" s="320">
        <f t="shared" si="95"/>
        <v>0.25000000011641532</v>
      </c>
      <c r="N97" s="320">
        <f t="shared" si="95"/>
        <v>0.25</v>
      </c>
      <c r="O97" s="320">
        <f t="shared" si="95"/>
        <v>0.25</v>
      </c>
      <c r="P97" s="320">
        <f t="shared" si="95"/>
        <v>0.25</v>
      </c>
      <c r="Q97" s="320">
        <f t="shared" si="95"/>
        <v>0.14999999990686774</v>
      </c>
      <c r="R97" s="320">
        <f t="shared" si="95"/>
        <v>0.25</v>
      </c>
      <c r="S97" s="320">
        <f t="shared" si="95"/>
        <v>0.24999999988358468</v>
      </c>
      <c r="T97" s="320">
        <f t="shared" si="95"/>
        <v>0.24999999988358468</v>
      </c>
      <c r="U97" s="320">
        <f t="shared" si="95"/>
        <v>0.24999999988358468</v>
      </c>
      <c r="V97" s="320">
        <f>V82-V95-V84</f>
        <v>0.15000000037252903</v>
      </c>
      <c r="W97" s="320">
        <f>W82-W95-W84</f>
        <v>0.59999999776482582</v>
      </c>
      <c r="X97" s="313"/>
    </row>
    <row r="98" spans="2:34" ht="15.75" collapsed="1" thickBot="1" x14ac:dyDescent="0.3">
      <c r="G98" s="287"/>
      <c r="L98" s="287"/>
      <c r="Q98" s="287"/>
      <c r="V98" s="287"/>
      <c r="W98" s="287"/>
      <c r="X98" s="305"/>
    </row>
    <row r="99" spans="2:34" x14ac:dyDescent="0.25">
      <c r="B99" s="342" t="s">
        <v>236</v>
      </c>
      <c r="C99" s="321"/>
      <c r="D99" s="322"/>
      <c r="E99" s="323">
        <f t="shared" ref="E99:W99" si="96">E29+E54</f>
        <v>0</v>
      </c>
      <c r="F99" s="323">
        <f t="shared" si="96"/>
        <v>551899.80600650236</v>
      </c>
      <c r="G99" s="323">
        <f t="shared" si="96"/>
        <v>551899.70600650227</v>
      </c>
      <c r="H99" s="323">
        <f t="shared" si="96"/>
        <v>709216.78725650231</v>
      </c>
      <c r="I99" s="323">
        <f t="shared" si="96"/>
        <v>626309.28725650231</v>
      </c>
      <c r="J99" s="323">
        <f t="shared" si="96"/>
        <v>706384.11433983571</v>
      </c>
      <c r="K99" s="323">
        <f t="shared" si="96"/>
        <v>678748.28100650234</v>
      </c>
      <c r="L99" s="464">
        <f t="shared" si="96"/>
        <v>2720657.1698593423</v>
      </c>
      <c r="M99" s="323">
        <f t="shared" si="96"/>
        <v>711623.23180682748</v>
      </c>
      <c r="N99" s="323">
        <f t="shared" si="96"/>
        <v>697456.5151401608</v>
      </c>
      <c r="O99" s="323">
        <f t="shared" si="96"/>
        <v>697456.5151401608</v>
      </c>
      <c r="P99" s="323">
        <f t="shared" si="96"/>
        <v>697456.5151401608</v>
      </c>
      <c r="Q99" s="323">
        <f t="shared" si="96"/>
        <v>2803991.4272273099</v>
      </c>
      <c r="R99" s="323">
        <f t="shared" si="96"/>
        <v>731975.20310550218</v>
      </c>
      <c r="S99" s="323">
        <f t="shared" si="96"/>
        <v>731975.14560550218</v>
      </c>
      <c r="T99" s="323">
        <f t="shared" si="96"/>
        <v>731975.14560550218</v>
      </c>
      <c r="U99" s="323">
        <f t="shared" si="96"/>
        <v>724891.81227216893</v>
      </c>
      <c r="V99" s="323">
        <f t="shared" si="96"/>
        <v>2920815.9565886753</v>
      </c>
      <c r="W99" s="324">
        <f t="shared" si="96"/>
        <v>8997364.2596818302</v>
      </c>
      <c r="X99" s="305"/>
    </row>
    <row r="100" spans="2:34" outlineLevel="1" x14ac:dyDescent="0.25">
      <c r="B100" s="332" t="s">
        <v>243</v>
      </c>
      <c r="C100" s="287"/>
      <c r="D100" s="179"/>
      <c r="E100" s="325">
        <f t="shared" ref="E100:W100" si="97">E29</f>
        <v>0</v>
      </c>
      <c r="F100" s="325">
        <f t="shared" si="97"/>
        <v>311675.05975650233</v>
      </c>
      <c r="G100" s="325">
        <f t="shared" si="97"/>
        <v>311675.05975650233</v>
      </c>
      <c r="H100" s="325">
        <f t="shared" si="97"/>
        <v>311675.05975650233</v>
      </c>
      <c r="I100" s="325">
        <f t="shared" si="97"/>
        <v>311675.05975650233</v>
      </c>
      <c r="J100" s="325">
        <f t="shared" si="97"/>
        <v>311675.05975650233</v>
      </c>
      <c r="K100" s="325">
        <f t="shared" si="97"/>
        <v>311675.05975650233</v>
      </c>
      <c r="L100" s="326">
        <f t="shared" si="97"/>
        <v>1246699.7890260094</v>
      </c>
      <c r="M100" s="325">
        <f t="shared" si="97"/>
        <v>326196.36274432752</v>
      </c>
      <c r="N100" s="325">
        <f t="shared" si="97"/>
        <v>312029.64607766084</v>
      </c>
      <c r="O100" s="325">
        <f t="shared" si="97"/>
        <v>312029.64607766084</v>
      </c>
      <c r="P100" s="325">
        <f t="shared" si="97"/>
        <v>312029.64607766084</v>
      </c>
      <c r="Q100" s="325">
        <f t="shared" si="97"/>
        <v>1262284.8009773099</v>
      </c>
      <c r="R100" s="325">
        <f t="shared" si="97"/>
        <v>327277.0038398772</v>
      </c>
      <c r="S100" s="325">
        <f t="shared" si="97"/>
        <v>327276.94633987721</v>
      </c>
      <c r="T100" s="325">
        <f t="shared" si="97"/>
        <v>327276.94633987721</v>
      </c>
      <c r="U100" s="325">
        <f t="shared" si="97"/>
        <v>320193.61300654389</v>
      </c>
      <c r="V100" s="325">
        <f t="shared" si="97"/>
        <v>1302024.0095261754</v>
      </c>
      <c r="W100" s="326">
        <f t="shared" si="97"/>
        <v>4122683.659285997</v>
      </c>
      <c r="X100" s="305"/>
    </row>
    <row r="101" spans="2:34" outlineLevel="1" x14ac:dyDescent="0.25">
      <c r="B101" s="332" t="s">
        <v>244</v>
      </c>
      <c r="C101" s="287"/>
      <c r="D101" s="179"/>
      <c r="E101" s="325">
        <f t="shared" ref="E101:W101" si="98">E54</f>
        <v>0</v>
      </c>
      <c r="F101" s="325">
        <f t="shared" si="98"/>
        <v>240224.74625</v>
      </c>
      <c r="G101" s="325">
        <f t="shared" si="98"/>
        <v>240224.64624999999</v>
      </c>
      <c r="H101" s="325">
        <f t="shared" si="98"/>
        <v>397541.72749999998</v>
      </c>
      <c r="I101" s="325">
        <f t="shared" si="98"/>
        <v>314634.22749999998</v>
      </c>
      <c r="J101" s="325">
        <f t="shared" si="98"/>
        <v>394709.05458333332</v>
      </c>
      <c r="K101" s="325">
        <f t="shared" si="98"/>
        <v>367073.22125</v>
      </c>
      <c r="L101" s="326">
        <f t="shared" si="98"/>
        <v>1473957.3808333331</v>
      </c>
      <c r="M101" s="325">
        <f t="shared" si="98"/>
        <v>385426.86906249996</v>
      </c>
      <c r="N101" s="325">
        <f t="shared" si="98"/>
        <v>385426.86906249996</v>
      </c>
      <c r="O101" s="325">
        <f t="shared" si="98"/>
        <v>385426.86906249996</v>
      </c>
      <c r="P101" s="325">
        <f t="shared" si="98"/>
        <v>385426.86906249996</v>
      </c>
      <c r="Q101" s="325">
        <f t="shared" si="98"/>
        <v>1541706.6262499997</v>
      </c>
      <c r="R101" s="325">
        <f t="shared" si="98"/>
        <v>404698.19926562498</v>
      </c>
      <c r="S101" s="325">
        <f t="shared" si="98"/>
        <v>404698.19926562498</v>
      </c>
      <c r="T101" s="325">
        <f t="shared" si="98"/>
        <v>404698.19926562498</v>
      </c>
      <c r="U101" s="325">
        <f t="shared" si="98"/>
        <v>404698.19926562498</v>
      </c>
      <c r="V101" s="325">
        <f t="shared" si="98"/>
        <v>1618791.9470624998</v>
      </c>
      <c r="W101" s="326">
        <f t="shared" si="98"/>
        <v>4874680.6003958331</v>
      </c>
      <c r="X101" s="305"/>
      <c r="Z101" s="461" t="s">
        <v>312</v>
      </c>
      <c r="AA101" s="460">
        <f>(L101-L100)/L100</f>
        <v>0.182287342797154</v>
      </c>
    </row>
    <row r="102" spans="2:34" x14ac:dyDescent="0.25">
      <c r="B102" s="465" t="s">
        <v>237</v>
      </c>
      <c r="C102" s="287"/>
      <c r="D102" s="179"/>
      <c r="E102" s="325">
        <f t="shared" ref="E102:V102" si="99">E82-E99-E95</f>
        <v>0</v>
      </c>
      <c r="F102" s="325">
        <f t="shared" si="99"/>
        <v>111027.22500000021</v>
      </c>
      <c r="G102" s="325">
        <f t="shared" si="99"/>
        <v>111027.22500000021</v>
      </c>
      <c r="H102" s="325">
        <f t="shared" si="99"/>
        <v>264103.22500000009</v>
      </c>
      <c r="I102" s="325">
        <f t="shared" si="99"/>
        <v>276103.22500000009</v>
      </c>
      <c r="J102" s="325">
        <f t="shared" si="99"/>
        <v>253890.22499999998</v>
      </c>
      <c r="K102" s="325">
        <f t="shared" si="99"/>
        <v>231390.22499999998</v>
      </c>
      <c r="L102" s="463">
        <f t="shared" si="99"/>
        <v>1025487.3500000006</v>
      </c>
      <c r="M102" s="325">
        <f t="shared" si="99"/>
        <v>227975.80000000005</v>
      </c>
      <c r="N102" s="325">
        <f t="shared" si="99"/>
        <v>239975.84999999998</v>
      </c>
      <c r="O102" s="325">
        <f t="shared" si="99"/>
        <v>227975.84999999998</v>
      </c>
      <c r="P102" s="325">
        <f t="shared" si="99"/>
        <v>227975.84999999998</v>
      </c>
      <c r="Q102" s="325">
        <f t="shared" si="99"/>
        <v>923903.84999999963</v>
      </c>
      <c r="R102" s="325">
        <f t="shared" si="99"/>
        <v>227975.79999999993</v>
      </c>
      <c r="S102" s="325">
        <f t="shared" si="99"/>
        <v>239975.84999999998</v>
      </c>
      <c r="T102" s="325">
        <f t="shared" si="99"/>
        <v>227975.84999999998</v>
      </c>
      <c r="U102" s="325">
        <f t="shared" si="99"/>
        <v>227975.84999999986</v>
      </c>
      <c r="V102" s="325">
        <f t="shared" si="99"/>
        <v>923903.85000000009</v>
      </c>
      <c r="W102" s="326">
        <f>W82-W99-W95</f>
        <v>2984322.2750000008</v>
      </c>
      <c r="X102" s="305"/>
    </row>
    <row r="103" spans="2:34" ht="15.75" thickBot="1" x14ac:dyDescent="0.3">
      <c r="B103" s="314" t="s">
        <v>315</v>
      </c>
      <c r="C103" s="328"/>
      <c r="D103" s="316"/>
      <c r="E103" s="466">
        <f>E99+E102</f>
        <v>0</v>
      </c>
      <c r="F103" s="466">
        <f t="shared" ref="F103:V103" si="100">F99+F102</f>
        <v>662927.03100650257</v>
      </c>
      <c r="G103" s="466">
        <f t="shared" si="100"/>
        <v>662926.93100650248</v>
      </c>
      <c r="H103" s="466">
        <f t="shared" si="100"/>
        <v>973320.01225650241</v>
      </c>
      <c r="I103" s="466">
        <f t="shared" si="100"/>
        <v>902412.51225650241</v>
      </c>
      <c r="J103" s="466">
        <f t="shared" si="100"/>
        <v>960274.33933983569</v>
      </c>
      <c r="K103" s="466">
        <f t="shared" si="100"/>
        <v>910138.50600650231</v>
      </c>
      <c r="L103" s="379">
        <f t="shared" si="100"/>
        <v>3746144.5198593428</v>
      </c>
      <c r="M103" s="337">
        <f t="shared" si="100"/>
        <v>939599.03180682752</v>
      </c>
      <c r="N103" s="337">
        <f t="shared" si="100"/>
        <v>937432.36514016078</v>
      </c>
      <c r="O103" s="337">
        <f t="shared" si="100"/>
        <v>925432.36514016078</v>
      </c>
      <c r="P103" s="337">
        <f t="shared" si="100"/>
        <v>925432.36514016078</v>
      </c>
      <c r="Q103" s="337">
        <f t="shared" si="100"/>
        <v>3727895.2772273095</v>
      </c>
      <c r="R103" s="337">
        <f t="shared" si="100"/>
        <v>959951.00310550211</v>
      </c>
      <c r="S103" s="337">
        <f t="shared" si="100"/>
        <v>971950.99560550216</v>
      </c>
      <c r="T103" s="337">
        <f t="shared" si="100"/>
        <v>959950.99560550216</v>
      </c>
      <c r="U103" s="337">
        <f t="shared" si="100"/>
        <v>952867.66227216879</v>
      </c>
      <c r="V103" s="337">
        <f t="shared" si="100"/>
        <v>3844719.8065886754</v>
      </c>
      <c r="W103" s="330">
        <f>W99+W102</f>
        <v>11981686.534681831</v>
      </c>
      <c r="X103" s="305"/>
    </row>
    <row r="104" spans="2:34" x14ac:dyDescent="0.25">
      <c r="B104" s="202"/>
      <c r="C104" s="287"/>
      <c r="D104" s="179"/>
      <c r="E104" s="325"/>
      <c r="F104" s="325"/>
      <c r="G104" s="325"/>
      <c r="H104" s="325"/>
      <c r="I104" s="325"/>
      <c r="J104" s="325"/>
      <c r="K104" s="325"/>
      <c r="L104" s="325"/>
      <c r="M104" s="325"/>
      <c r="N104" s="325"/>
      <c r="O104" s="325"/>
      <c r="P104" s="325"/>
      <c r="Q104" s="325"/>
      <c r="R104" s="325"/>
      <c r="S104" s="325"/>
      <c r="T104" s="325"/>
      <c r="U104" s="325"/>
      <c r="V104" s="325"/>
      <c r="W104" s="325">
        <f>W82-W95-W103</f>
        <v>0</v>
      </c>
      <c r="X104" s="305"/>
    </row>
    <row r="105" spans="2:34" hidden="1" outlineLevel="1" x14ac:dyDescent="0.25">
      <c r="B105" s="171"/>
      <c r="C105" s="321"/>
      <c r="D105" s="322"/>
      <c r="E105" s="323"/>
      <c r="F105" s="323"/>
      <c r="G105" s="323"/>
      <c r="H105" s="323"/>
      <c r="I105" s="323"/>
      <c r="J105" s="323"/>
      <c r="K105" s="323"/>
      <c r="L105" s="324"/>
      <c r="M105" s="323"/>
      <c r="N105" s="323"/>
      <c r="O105" s="323"/>
      <c r="P105" s="323"/>
      <c r="Q105" s="323"/>
      <c r="R105" s="323"/>
      <c r="S105" s="323"/>
      <c r="T105" s="323"/>
      <c r="U105" s="323"/>
      <c r="V105" s="323"/>
      <c r="W105" s="324"/>
    </row>
    <row r="106" spans="2:34" hidden="1" outlineLevel="1" x14ac:dyDescent="0.25">
      <c r="B106" s="286" t="s">
        <v>240</v>
      </c>
      <c r="C106" s="287"/>
      <c r="D106" s="179"/>
      <c r="E106" s="287"/>
      <c r="F106" s="325">
        <f>[1]Sheet1!$N$37/4</f>
        <v>14149.875</v>
      </c>
      <c r="G106" s="325">
        <f>F106</f>
        <v>14149.875</v>
      </c>
      <c r="H106" s="325">
        <f>G106</f>
        <v>14149.875</v>
      </c>
      <c r="I106" s="325">
        <f>H106</f>
        <v>14149.875</v>
      </c>
      <c r="J106" s="325">
        <f>I106</f>
        <v>14149.875</v>
      </c>
      <c r="K106" s="325">
        <f>J106</f>
        <v>14149.875</v>
      </c>
      <c r="L106" s="326">
        <f>SUM(H106:K106)</f>
        <v>56599.5</v>
      </c>
      <c r="M106" s="325">
        <f>H106</f>
        <v>14149.875</v>
      </c>
      <c r="N106" s="325">
        <f>M106</f>
        <v>14149.875</v>
      </c>
      <c r="O106" s="325">
        <f>N106</f>
        <v>14149.875</v>
      </c>
      <c r="P106" s="325">
        <f>O106</f>
        <v>14149.875</v>
      </c>
      <c r="Q106" s="325">
        <f>SUM(M106:P106)</f>
        <v>56599.5</v>
      </c>
      <c r="R106" s="325">
        <f>H106</f>
        <v>14149.875</v>
      </c>
      <c r="S106" s="325">
        <f>R106</f>
        <v>14149.875</v>
      </c>
      <c r="T106" s="325">
        <f>S106</f>
        <v>14149.875</v>
      </c>
      <c r="U106" s="325"/>
      <c r="V106" s="325">
        <f>SUM(R106:U106)</f>
        <v>42449.625</v>
      </c>
      <c r="W106" s="326">
        <f>G106+L106+Q106+V106</f>
        <v>169798.5</v>
      </c>
    </row>
    <row r="107" spans="2:34" ht="15.75" hidden="1" outlineLevel="1" thickBot="1" x14ac:dyDescent="0.3">
      <c r="B107" s="327" t="s">
        <v>239</v>
      </c>
      <c r="C107" s="328"/>
      <c r="D107" s="329"/>
      <c r="E107" s="328"/>
      <c r="F107" s="328"/>
      <c r="G107" s="328"/>
      <c r="H107" s="328"/>
      <c r="I107" s="328"/>
      <c r="J107" s="328"/>
      <c r="K107" s="328"/>
      <c r="L107" s="331"/>
      <c r="M107" s="328"/>
      <c r="N107" s="328"/>
      <c r="O107" s="328"/>
      <c r="P107" s="328"/>
      <c r="Q107" s="328"/>
      <c r="R107" s="328"/>
      <c r="S107" s="328"/>
      <c r="T107" s="328"/>
      <c r="U107" s="328"/>
      <c r="V107" s="328"/>
      <c r="W107" s="331"/>
    </row>
    <row r="108" spans="2:34" collapsed="1" x14ac:dyDescent="0.25"/>
    <row r="109" spans="2:34" hidden="1" outlineLevel="1" x14ac:dyDescent="0.25">
      <c r="B109" s="342" t="s">
        <v>253</v>
      </c>
      <c r="C109" s="321"/>
      <c r="D109" s="322"/>
      <c r="E109" s="346"/>
      <c r="F109" s="346"/>
      <c r="G109" s="346"/>
      <c r="H109" s="346"/>
      <c r="I109" s="346"/>
      <c r="J109" s="346"/>
      <c r="K109" s="346"/>
      <c r="L109" s="347"/>
      <c r="M109" s="346"/>
      <c r="N109" s="346"/>
      <c r="O109" s="346"/>
      <c r="P109" s="346"/>
      <c r="Q109" s="346"/>
      <c r="R109" s="346"/>
      <c r="S109" s="346"/>
      <c r="T109" s="346"/>
      <c r="U109" s="346"/>
      <c r="V109" s="346"/>
      <c r="W109" s="390"/>
      <c r="Y109" s="212" t="s">
        <v>311</v>
      </c>
    </row>
    <row r="110" spans="2:34" s="202" customFormat="1" hidden="1" outlineLevel="1" x14ac:dyDescent="0.25">
      <c r="B110" s="203" t="s">
        <v>191</v>
      </c>
      <c r="C110" s="204" t="s">
        <v>192</v>
      </c>
      <c r="E110" s="224"/>
      <c r="F110" s="283">
        <v>11485</v>
      </c>
      <c r="G110" s="211">
        <f>SUM(E110:F110)</f>
        <v>11485</v>
      </c>
      <c r="H110" s="224"/>
      <c r="I110" s="224"/>
      <c r="J110" s="224"/>
      <c r="K110" s="224"/>
      <c r="L110" s="350"/>
      <c r="M110" s="224"/>
      <c r="N110" s="224"/>
      <c r="O110" s="224"/>
      <c r="P110" s="224"/>
      <c r="Q110" s="224"/>
      <c r="R110" s="224"/>
      <c r="S110" s="224"/>
      <c r="T110" s="224"/>
      <c r="U110" s="224"/>
      <c r="V110" s="224"/>
      <c r="W110" s="340">
        <f>G110+L110+Q110+V110</f>
        <v>11485</v>
      </c>
      <c r="X110" s="211"/>
      <c r="Y110" s="212" t="s">
        <v>252</v>
      </c>
    </row>
    <row r="111" spans="2:34" s="202" customFormat="1" hidden="1" outlineLevel="1" x14ac:dyDescent="0.25">
      <c r="B111" s="203" t="s">
        <v>193</v>
      </c>
      <c r="C111" s="204" t="s">
        <v>192</v>
      </c>
      <c r="E111" s="224"/>
      <c r="F111" s="283">
        <v>861</v>
      </c>
      <c r="G111" s="211">
        <f t="shared" ref="G111:G116" si="101">SUM(E111:F111)</f>
        <v>861</v>
      </c>
      <c r="H111" s="224"/>
      <c r="I111" s="224"/>
      <c r="J111" s="224"/>
      <c r="K111" s="224"/>
      <c r="L111" s="350"/>
      <c r="M111" s="223"/>
      <c r="N111" s="223"/>
      <c r="O111" s="223"/>
      <c r="P111" s="223"/>
      <c r="Q111" s="224"/>
      <c r="R111" s="224"/>
      <c r="S111" s="224"/>
      <c r="T111" s="224"/>
      <c r="U111" s="224"/>
      <c r="V111" s="224"/>
      <c r="W111" s="340">
        <f t="shared" ref="W111:W116" si="102">G111+L111+Q111+V111</f>
        <v>861</v>
      </c>
      <c r="X111" s="211"/>
      <c r="Y111" s="212" t="s">
        <v>252</v>
      </c>
    </row>
    <row r="112" spans="2:34" s="202" customFormat="1" hidden="1" outlineLevel="1" x14ac:dyDescent="0.25">
      <c r="B112" s="203" t="s">
        <v>194</v>
      </c>
      <c r="C112" s="204" t="s">
        <v>195</v>
      </c>
      <c r="E112" s="224"/>
      <c r="F112" s="283">
        <f>4000*(180*60%)*3.4%</f>
        <v>14688.000000000002</v>
      </c>
      <c r="G112" s="211">
        <f>SUM(E112:F112)</f>
        <v>14688.000000000002</v>
      </c>
      <c r="H112" s="224"/>
      <c r="I112" s="224"/>
      <c r="J112" s="224"/>
      <c r="K112" s="224"/>
      <c r="L112" s="350"/>
      <c r="M112" s="223"/>
      <c r="N112" s="223"/>
      <c r="O112" s="223"/>
      <c r="P112" s="223"/>
      <c r="Q112" s="224"/>
      <c r="R112" s="224"/>
      <c r="S112" s="224"/>
      <c r="T112" s="224"/>
      <c r="U112" s="224"/>
      <c r="V112" s="224"/>
      <c r="W112" s="340">
        <f t="shared" si="102"/>
        <v>14688.000000000002</v>
      </c>
      <c r="X112" s="211"/>
      <c r="Y112" s="212" t="s">
        <v>252</v>
      </c>
      <c r="AA112" s="215"/>
      <c r="AB112" s="215"/>
      <c r="AC112" s="215"/>
      <c r="AD112" s="215"/>
      <c r="AE112" s="215"/>
      <c r="AF112" s="215"/>
      <c r="AG112" s="215"/>
      <c r="AH112" s="215"/>
    </row>
    <row r="113" spans="2:41" s="202" customFormat="1" ht="14.45" hidden="1" customHeight="1" outlineLevel="1" x14ac:dyDescent="0.25">
      <c r="B113" s="450" t="s">
        <v>309</v>
      </c>
      <c r="C113" s="204" t="s">
        <v>195</v>
      </c>
      <c r="E113" s="187"/>
      <c r="F113" s="283">
        <f>((4882*(65+20)*2.5%)+((7100*(50+20)*4.3%)))-24255+300-790</f>
        <v>7000.25</v>
      </c>
      <c r="G113" s="211">
        <f>SUM(E113:F113)</f>
        <v>7000.25</v>
      </c>
      <c r="H113" s="224"/>
      <c r="I113" s="224"/>
      <c r="J113" s="224"/>
      <c r="K113" s="224"/>
      <c r="L113" s="350"/>
      <c r="M113" s="223"/>
      <c r="N113" s="223"/>
      <c r="O113" s="223"/>
      <c r="P113" s="223"/>
      <c r="Q113" s="224"/>
      <c r="R113" s="224"/>
      <c r="S113" s="224"/>
      <c r="T113" s="224"/>
      <c r="U113" s="224"/>
      <c r="V113" s="224"/>
      <c r="W113" s="340">
        <f>G113+L113+Q113+V113</f>
        <v>7000.25</v>
      </c>
      <c r="X113" s="211"/>
      <c r="Y113" s="212" t="s">
        <v>252</v>
      </c>
      <c r="AA113" s="216"/>
      <c r="AB113" s="216"/>
      <c r="AC113" s="216"/>
      <c r="AD113" s="216"/>
      <c r="AE113" s="216"/>
      <c r="AF113" s="216"/>
      <c r="AG113" s="216"/>
      <c r="AH113" s="216"/>
    </row>
    <row r="114" spans="2:41" s="202" customFormat="1" ht="14.45" hidden="1" customHeight="1" outlineLevel="1" x14ac:dyDescent="0.25">
      <c r="B114" s="203" t="s">
        <v>196</v>
      </c>
      <c r="C114" s="204" t="s">
        <v>195</v>
      </c>
      <c r="E114" s="187"/>
      <c r="F114" s="283">
        <v>43000</v>
      </c>
      <c r="G114" s="211">
        <f>SUM(E114:F114)</f>
        <v>43000</v>
      </c>
      <c r="H114" s="224"/>
      <c r="I114" s="224"/>
      <c r="J114" s="224"/>
      <c r="K114" s="224"/>
      <c r="L114" s="350"/>
      <c r="M114" s="223"/>
      <c r="N114" s="223"/>
      <c r="O114" s="223"/>
      <c r="P114" s="223"/>
      <c r="Q114" s="224"/>
      <c r="R114" s="224"/>
      <c r="S114" s="224"/>
      <c r="T114" s="224"/>
      <c r="U114" s="224"/>
      <c r="V114" s="224"/>
      <c r="W114" s="340">
        <f>G114+L114+Q114+V114</f>
        <v>43000</v>
      </c>
      <c r="X114" s="211"/>
      <c r="Y114" s="212" t="s">
        <v>252</v>
      </c>
      <c r="AA114" s="216"/>
      <c r="AB114" s="216"/>
      <c r="AC114" s="216"/>
      <c r="AD114" s="216"/>
      <c r="AE114" s="216"/>
      <c r="AF114" s="216"/>
      <c r="AG114" s="216"/>
      <c r="AH114" s="216"/>
    </row>
    <row r="115" spans="2:41" s="202" customFormat="1" hidden="1" outlineLevel="1" x14ac:dyDescent="0.25">
      <c r="B115" s="203" t="s">
        <v>218</v>
      </c>
      <c r="C115" s="204" t="s">
        <v>195</v>
      </c>
      <c r="E115" s="224"/>
      <c r="F115" s="223">
        <f>4000*12</f>
        <v>48000</v>
      </c>
      <c r="G115" s="224">
        <f>SUM(E115:F115)</f>
        <v>48000</v>
      </c>
      <c r="H115" s="223"/>
      <c r="I115" s="223"/>
      <c r="J115" s="223"/>
      <c r="K115" s="223"/>
      <c r="L115" s="350"/>
      <c r="M115" s="223"/>
      <c r="N115" s="223"/>
      <c r="O115" s="223"/>
      <c r="P115" s="223"/>
      <c r="Q115" s="224">
        <f>SUM(M115:P115)</f>
        <v>0</v>
      </c>
      <c r="R115" s="223"/>
      <c r="S115" s="223"/>
      <c r="T115" s="223"/>
      <c r="U115" s="223"/>
      <c r="V115" s="224">
        <f>SUM(R115:U115)</f>
        <v>0</v>
      </c>
      <c r="W115" s="341">
        <f>G115+L115+Q115+V115</f>
        <v>48000</v>
      </c>
      <c r="X115" s="224"/>
      <c r="Y115" s="212" t="s">
        <v>252</v>
      </c>
    </row>
    <row r="116" spans="2:41" s="202" customFormat="1" ht="15.75" hidden="1" outlineLevel="1" thickBot="1" x14ac:dyDescent="0.3">
      <c r="B116" s="343" t="s">
        <v>174</v>
      </c>
      <c r="C116" s="344"/>
      <c r="D116" s="345"/>
      <c r="E116" s="348"/>
      <c r="F116" s="351">
        <f>SUM(F110:F115)</f>
        <v>125034.25</v>
      </c>
      <c r="G116" s="352">
        <f t="shared" si="101"/>
        <v>125034.25</v>
      </c>
      <c r="H116" s="348"/>
      <c r="I116" s="348"/>
      <c r="J116" s="348"/>
      <c r="K116" s="348"/>
      <c r="L116" s="353"/>
      <c r="M116" s="349"/>
      <c r="N116" s="349"/>
      <c r="O116" s="349"/>
      <c r="P116" s="349"/>
      <c r="Q116" s="348"/>
      <c r="R116" s="349"/>
      <c r="S116" s="349"/>
      <c r="T116" s="349"/>
      <c r="U116" s="349"/>
      <c r="V116" s="348"/>
      <c r="W116" s="391">
        <f t="shared" si="102"/>
        <v>125034.25</v>
      </c>
      <c r="X116" s="211"/>
      <c r="Y116" s="212" t="s">
        <v>252</v>
      </c>
    </row>
    <row r="117" spans="2:41" hidden="1" outlineLevel="1" x14ac:dyDescent="0.25">
      <c r="B117" s="456" t="s">
        <v>310</v>
      </c>
      <c r="Y117" s="166"/>
      <c r="Z117" s="444"/>
      <c r="AA117" s="444"/>
      <c r="AB117" s="444"/>
      <c r="AC117" s="444"/>
      <c r="AD117" s="444"/>
      <c r="AE117" s="444"/>
      <c r="AF117" s="444"/>
      <c r="AG117" s="444"/>
      <c r="AH117" s="444"/>
      <c r="AI117" s="444"/>
      <c r="AJ117" s="444"/>
      <c r="AK117" s="444"/>
      <c r="AL117" s="444"/>
      <c r="AM117" s="444"/>
      <c r="AN117" s="444"/>
      <c r="AO117" s="444"/>
    </row>
    <row r="118" spans="2:41" collapsed="1" x14ac:dyDescent="0.25"/>
  </sheetData>
  <mergeCells count="18">
    <mergeCell ref="AI29:AR29"/>
    <mergeCell ref="Y27:AH27"/>
    <mergeCell ref="Y50:AH50"/>
    <mergeCell ref="Y52:AH52"/>
    <mergeCell ref="Y65:AH65"/>
    <mergeCell ref="Y64:AH64"/>
    <mergeCell ref="Y11:AH11"/>
    <mergeCell ref="Y12:AH12"/>
    <mergeCell ref="Y22:AH22"/>
    <mergeCell ref="Y24:AH24"/>
    <mergeCell ref="Y63:AH63"/>
    <mergeCell ref="Y7:AO7"/>
    <mergeCell ref="B6:W6"/>
    <mergeCell ref="B7:W7"/>
    <mergeCell ref="E9:G9"/>
    <mergeCell ref="H9:L9"/>
    <mergeCell ref="M9:Q9"/>
    <mergeCell ref="R9:V9"/>
  </mergeCells>
  <hyperlinks>
    <hyperlink ref="AI29:AR29" r:id="rId1" display="HC Costs Copy of Delta Comp v2- 9.27.19 - Sent to Casper.xlsx" xr:uid="{00000000-0004-0000-0100-00000000000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U20"/>
  <sheetViews>
    <sheetView showGridLines="0" topLeftCell="A4" zoomScale="70" zoomScaleNormal="70" workbookViewId="0">
      <selection activeCell="F20" sqref="F20"/>
    </sheetView>
  </sheetViews>
  <sheetFormatPr defaultColWidth="14.42578125" defaultRowHeight="15.75" customHeight="1" x14ac:dyDescent="0.2"/>
  <cols>
    <col min="1" max="1" width="11.28515625" style="397" customWidth="1"/>
    <col min="2" max="2" width="13.140625" style="397" customWidth="1"/>
    <col min="3" max="3" width="20.7109375" style="397" customWidth="1"/>
    <col min="4" max="4" width="20.85546875" style="397" customWidth="1"/>
    <col min="5" max="9" width="11.28515625" style="397" customWidth="1"/>
    <col min="10" max="10" width="15.140625" style="397" customWidth="1"/>
    <col min="11" max="11" width="17.5703125" style="397" customWidth="1"/>
    <col min="12" max="12" width="11.28515625" style="397" customWidth="1"/>
    <col min="13" max="16384" width="14.42578125" style="397"/>
  </cols>
  <sheetData>
    <row r="1" spans="1:21" ht="12.75" x14ac:dyDescent="0.2">
      <c r="A1" s="395"/>
      <c r="B1" s="395"/>
      <c r="C1" s="395"/>
      <c r="D1" s="395"/>
      <c r="E1" s="395"/>
      <c r="F1" s="395"/>
      <c r="G1" s="395"/>
      <c r="H1" s="395"/>
      <c r="I1" s="395"/>
      <c r="J1" s="395"/>
      <c r="K1" s="395"/>
      <c r="L1" s="395"/>
      <c r="M1" s="396"/>
      <c r="N1" s="396"/>
    </row>
    <row r="2" spans="1:21" ht="12.75" x14ac:dyDescent="0.2">
      <c r="A2" s="398"/>
      <c r="B2" s="398"/>
      <c r="C2" s="398"/>
      <c r="D2" s="398"/>
      <c r="E2" s="398"/>
      <c r="F2" s="398"/>
      <c r="G2" s="398"/>
      <c r="H2" s="398"/>
      <c r="I2" s="398"/>
      <c r="J2" s="398"/>
      <c r="K2" s="398"/>
      <c r="L2" s="398"/>
    </row>
    <row r="3" spans="1:21" ht="22.5" customHeight="1" x14ac:dyDescent="0.2">
      <c r="A3" s="783" t="s">
        <v>271</v>
      </c>
      <c r="B3" s="784"/>
      <c r="C3" s="784"/>
      <c r="D3" s="784"/>
      <c r="E3" s="784"/>
      <c r="F3" s="784"/>
      <c r="G3" s="784"/>
      <c r="H3" s="784"/>
      <c r="I3" s="784"/>
      <c r="J3" s="784"/>
      <c r="K3" s="784"/>
      <c r="L3" s="784"/>
      <c r="M3" s="399"/>
      <c r="N3" s="399"/>
      <c r="O3" s="400"/>
      <c r="P3" s="400"/>
      <c r="Q3" s="400"/>
      <c r="R3" s="400"/>
      <c r="S3" s="400"/>
      <c r="T3" s="400"/>
      <c r="U3" s="400"/>
    </row>
    <row r="4" spans="1:21" ht="13.5" thickBot="1" x14ac:dyDescent="0.25">
      <c r="A4" s="401"/>
      <c r="B4" s="402"/>
      <c r="C4" s="402"/>
      <c r="D4" s="402"/>
      <c r="E4" s="402"/>
      <c r="F4" s="402"/>
      <c r="G4" s="402"/>
      <c r="H4" s="402"/>
      <c r="I4" s="402"/>
      <c r="J4" s="402"/>
      <c r="K4" s="402"/>
      <c r="L4" s="402"/>
      <c r="M4" s="403"/>
      <c r="N4" s="403"/>
      <c r="O4" s="403"/>
      <c r="P4" s="403"/>
      <c r="Q4" s="403"/>
      <c r="R4" s="403"/>
      <c r="S4" s="403"/>
      <c r="T4" s="403"/>
      <c r="U4" s="403"/>
    </row>
    <row r="5" spans="1:21" ht="115.5" thickBot="1" x14ac:dyDescent="0.25">
      <c r="A5" s="404"/>
      <c r="B5" s="405" t="s">
        <v>272</v>
      </c>
      <c r="C5" s="406" t="s">
        <v>273</v>
      </c>
      <c r="D5" s="407" t="s">
        <v>274</v>
      </c>
      <c r="E5" s="408" t="s">
        <v>275</v>
      </c>
      <c r="F5" s="408" t="s">
        <v>276</v>
      </c>
      <c r="G5" s="408" t="s">
        <v>277</v>
      </c>
      <c r="H5" s="408" t="s">
        <v>278</v>
      </c>
      <c r="I5" s="408" t="s">
        <v>279</v>
      </c>
      <c r="J5" s="408" t="s">
        <v>280</v>
      </c>
      <c r="K5" s="408" t="s">
        <v>281</v>
      </c>
      <c r="L5" s="407" t="s">
        <v>282</v>
      </c>
      <c r="M5" s="409"/>
      <c r="N5" s="409"/>
      <c r="O5" s="403"/>
      <c r="P5" s="403"/>
      <c r="Q5" s="403"/>
      <c r="R5" s="403"/>
      <c r="S5" s="403"/>
      <c r="T5" s="403"/>
      <c r="U5" s="403"/>
    </row>
    <row r="6" spans="1:21" ht="13.5" thickBot="1" x14ac:dyDescent="0.25">
      <c r="A6" s="410"/>
      <c r="B6" s="411">
        <v>3018</v>
      </c>
      <c r="C6" s="400" t="s">
        <v>283</v>
      </c>
      <c r="D6" s="412">
        <v>4982</v>
      </c>
      <c r="E6" s="413">
        <v>8000</v>
      </c>
      <c r="F6" s="414">
        <v>2221</v>
      </c>
      <c r="G6" s="415">
        <v>2221</v>
      </c>
      <c r="H6" s="416">
        <v>2221</v>
      </c>
      <c r="I6" s="414" t="s">
        <v>284</v>
      </c>
      <c r="J6" s="415">
        <v>55</v>
      </c>
      <c r="K6" s="415" t="s">
        <v>285</v>
      </c>
      <c r="L6" s="412" t="s">
        <v>286</v>
      </c>
    </row>
    <row r="7" spans="1:21" ht="13.5" thickBot="1" x14ac:dyDescent="0.25">
      <c r="A7" s="410"/>
      <c r="B7" s="411"/>
      <c r="C7" s="400"/>
      <c r="D7" s="412"/>
      <c r="E7" s="413"/>
      <c r="F7" s="414"/>
      <c r="G7" s="415"/>
      <c r="H7" s="416"/>
      <c r="I7" s="414"/>
      <c r="J7" s="415"/>
      <c r="K7" s="415"/>
      <c r="L7" s="412"/>
    </row>
    <row r="8" spans="1:21" ht="51.75" thickBot="1" x14ac:dyDescent="0.25">
      <c r="A8" s="410"/>
      <c r="B8" s="411"/>
      <c r="C8" s="417" t="s">
        <v>287</v>
      </c>
      <c r="D8" s="418" t="s">
        <v>288</v>
      </c>
      <c r="E8" s="413"/>
      <c r="F8" s="414"/>
      <c r="G8" s="415"/>
      <c r="H8" s="416"/>
      <c r="I8" s="414"/>
      <c r="J8" s="415"/>
      <c r="K8" s="415"/>
      <c r="L8" s="412"/>
    </row>
    <row r="9" spans="1:21" ht="13.5" thickBot="1" x14ac:dyDescent="0.25">
      <c r="A9" s="410"/>
      <c r="B9" s="419"/>
      <c r="D9" s="420"/>
      <c r="E9" s="421"/>
      <c r="F9" s="422"/>
      <c r="G9" s="423"/>
      <c r="H9" s="424"/>
      <c r="I9" s="422"/>
      <c r="J9" s="423"/>
      <c r="K9" s="423"/>
      <c r="L9" s="420"/>
    </row>
    <row r="10" spans="1:21" ht="13.5" thickBot="1" x14ac:dyDescent="0.25">
      <c r="A10" s="410"/>
      <c r="B10" s="419"/>
      <c r="D10" s="420"/>
      <c r="E10" s="421"/>
      <c r="F10" s="422"/>
      <c r="G10" s="423"/>
      <c r="H10" s="424"/>
      <c r="I10" s="422"/>
      <c r="J10" s="423"/>
      <c r="K10" s="423"/>
      <c r="L10" s="420"/>
    </row>
    <row r="11" spans="1:21" ht="13.5" thickBot="1" x14ac:dyDescent="0.25">
      <c r="A11" s="410"/>
      <c r="B11" s="419"/>
      <c r="D11" s="420"/>
      <c r="E11" s="421"/>
      <c r="F11" s="422"/>
      <c r="G11" s="423"/>
      <c r="H11" s="424"/>
      <c r="I11" s="422"/>
      <c r="J11" s="423"/>
      <c r="K11" s="423"/>
      <c r="L11" s="420"/>
    </row>
    <row r="12" spans="1:21" ht="13.5" thickBot="1" x14ac:dyDescent="0.25">
      <c r="A12" s="410"/>
      <c r="B12" s="422"/>
      <c r="C12" s="423"/>
      <c r="D12" s="424"/>
      <c r="E12" s="421">
        <f>D6-F6</f>
        <v>2761</v>
      </c>
      <c r="F12" s="422"/>
      <c r="G12" s="423"/>
      <c r="H12" s="424"/>
      <c r="I12" s="422"/>
      <c r="J12" s="423"/>
      <c r="K12" s="423"/>
      <c r="L12" s="424"/>
    </row>
    <row r="14" spans="1:21" ht="15.75" customHeight="1" x14ac:dyDescent="0.2">
      <c r="B14" s="425" t="s">
        <v>289</v>
      </c>
    </row>
    <row r="15" spans="1:21" ht="15.75" customHeight="1" x14ac:dyDescent="0.2">
      <c r="B15" s="426" t="s">
        <v>290</v>
      </c>
      <c r="E15" s="397">
        <f>180*60%</f>
        <v>108</v>
      </c>
      <c r="M15" s="429" t="s">
        <v>292</v>
      </c>
    </row>
    <row r="16" spans="1:21" ht="15.75" customHeight="1" x14ac:dyDescent="0.2">
      <c r="A16" s="427">
        <v>0.1</v>
      </c>
      <c r="B16" s="426" t="s">
        <v>291</v>
      </c>
      <c r="E16" s="428">
        <f>E15*(1+A16)</f>
        <v>118.80000000000001</v>
      </c>
    </row>
    <row r="18" spans="2:13" ht="15.75" customHeight="1" x14ac:dyDescent="0.2">
      <c r="B18" s="426" t="s">
        <v>293</v>
      </c>
      <c r="E18" s="427">
        <v>0.4</v>
      </c>
      <c r="F18" s="427">
        <v>0.5</v>
      </c>
      <c r="G18" s="427">
        <v>0.6</v>
      </c>
      <c r="H18" s="427">
        <v>0.7</v>
      </c>
      <c r="I18" s="427">
        <v>0.8</v>
      </c>
      <c r="J18" s="427">
        <v>0.9</v>
      </c>
      <c r="K18" s="427">
        <v>1</v>
      </c>
      <c r="M18" s="429" t="s">
        <v>294</v>
      </c>
    </row>
    <row r="20" spans="2:13" ht="15.75" customHeight="1" x14ac:dyDescent="0.2">
      <c r="E20" s="430">
        <f>($E$12*E18)*$E$16</f>
        <v>131202.72000000003</v>
      </c>
      <c r="F20" s="452">
        <f t="shared" ref="F20:K20" si="0">($E$12*F18)*$E$16</f>
        <v>164003.40000000002</v>
      </c>
      <c r="G20" s="453">
        <f t="shared" si="0"/>
        <v>196804.08000000002</v>
      </c>
      <c r="H20" s="453">
        <f t="shared" si="0"/>
        <v>229604.76</v>
      </c>
      <c r="I20" s="430">
        <f t="shared" si="0"/>
        <v>262405.44000000006</v>
      </c>
      <c r="J20" s="430">
        <f t="shared" si="0"/>
        <v>295206.12000000005</v>
      </c>
      <c r="K20" s="430">
        <f t="shared" si="0"/>
        <v>328006.80000000005</v>
      </c>
      <c r="M20" s="216" t="s">
        <v>295</v>
      </c>
    </row>
  </sheetData>
  <mergeCells count="1">
    <mergeCell ref="A3:L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V2"/>
  <sheetViews>
    <sheetView showGridLines="0" workbookViewId="0">
      <selection activeCell="C29" sqref="C29"/>
    </sheetView>
  </sheetViews>
  <sheetFormatPr defaultRowHeight="15" x14ac:dyDescent="0.25"/>
  <sheetData>
    <row r="2" spans="2:22" ht="59.1" customHeight="1" x14ac:dyDescent="0.25">
      <c r="B2" s="785" t="s">
        <v>298</v>
      </c>
      <c r="C2" s="786"/>
      <c r="D2" s="786"/>
      <c r="E2" s="786"/>
      <c r="F2" s="786"/>
      <c r="G2" s="786"/>
      <c r="H2" s="786"/>
      <c r="I2" s="786"/>
      <c r="J2" s="786"/>
      <c r="K2" s="786"/>
      <c r="L2" s="786"/>
      <c r="M2" s="786"/>
      <c r="N2" s="786"/>
      <c r="O2" s="786"/>
      <c r="P2" s="786"/>
      <c r="Q2" s="786"/>
      <c r="R2" s="786"/>
      <c r="S2" s="786"/>
      <c r="T2" s="786"/>
      <c r="U2" s="786"/>
      <c r="V2" s="786"/>
    </row>
  </sheetData>
  <mergeCells count="1">
    <mergeCell ref="B2:V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1"/>
  <sheetViews>
    <sheetView showGridLines="0" topLeftCell="A28" zoomScale="60" zoomScaleNormal="60" workbookViewId="0">
      <selection activeCell="I41" sqref="I41"/>
    </sheetView>
  </sheetViews>
  <sheetFormatPr defaultColWidth="14.42578125" defaultRowHeight="15" customHeight="1" outlineLevelRow="2" outlineLevelCol="1" x14ac:dyDescent="0.25"/>
  <cols>
    <col min="1" max="1" width="34.5703125" customWidth="1"/>
    <col min="2" max="2" width="106.85546875" customWidth="1"/>
    <col min="3" max="3" width="20.85546875" hidden="1" customWidth="1" outlineLevel="1"/>
    <col min="4" max="4" width="20.7109375" hidden="1" customWidth="1" outlineLevel="1"/>
    <col min="5" max="5" width="9.42578125" hidden="1" customWidth="1" outlineLevel="1"/>
    <col min="6" max="6" width="17.140625" hidden="1" customWidth="1" outlineLevel="1"/>
    <col min="7" max="7" width="17.28515625" hidden="1" customWidth="1" outlineLevel="1"/>
    <col min="8" max="8" width="9.85546875" customWidth="1" collapsed="1"/>
    <col min="9" max="19" width="9.85546875" customWidth="1"/>
    <col min="20" max="20" width="7.85546875" customWidth="1"/>
    <col min="21" max="27" width="15.85546875" customWidth="1"/>
  </cols>
  <sheetData>
    <row r="1" spans="1:20" ht="23.25" x14ac:dyDescent="0.35">
      <c r="A1" s="1" t="s">
        <v>2</v>
      </c>
    </row>
    <row r="2" spans="1:20" x14ac:dyDescent="0.25">
      <c r="I2" s="5"/>
      <c r="J2" s="6"/>
      <c r="K2" s="5"/>
      <c r="L2" s="5"/>
      <c r="M2" s="5"/>
      <c r="N2" s="6"/>
      <c r="O2" s="5"/>
      <c r="P2" s="5"/>
      <c r="Q2" s="5"/>
      <c r="R2" s="6"/>
      <c r="S2" s="5"/>
      <c r="T2" s="5"/>
    </row>
    <row r="3" spans="1:20" ht="18.75" hidden="1" outlineLevel="1" x14ac:dyDescent="0.3">
      <c r="A3" s="7" t="s">
        <v>4</v>
      </c>
      <c r="H3" s="790">
        <v>2019</v>
      </c>
      <c r="I3" s="789"/>
      <c r="J3" s="787">
        <v>2020</v>
      </c>
      <c r="K3" s="788"/>
      <c r="L3" s="788"/>
      <c r="M3" s="789"/>
      <c r="N3" s="787">
        <v>2021</v>
      </c>
      <c r="O3" s="788"/>
      <c r="P3" s="788"/>
      <c r="Q3" s="789"/>
      <c r="R3" s="790">
        <v>2022</v>
      </c>
      <c r="S3" s="789"/>
      <c r="T3" s="5"/>
    </row>
    <row r="4" spans="1:20" hidden="1" outlineLevel="2" x14ac:dyDescent="0.25">
      <c r="A4" s="8"/>
      <c r="B4" s="8"/>
      <c r="C4" s="8"/>
      <c r="D4" s="11"/>
      <c r="E4" s="8"/>
      <c r="F4" s="8"/>
      <c r="G4" s="11"/>
      <c r="H4" s="13">
        <v>43647</v>
      </c>
      <c r="I4" s="13">
        <v>43739</v>
      </c>
      <c r="J4" s="13">
        <v>43831</v>
      </c>
      <c r="K4" s="13">
        <v>43922</v>
      </c>
      <c r="L4" s="13">
        <v>44013</v>
      </c>
      <c r="M4" s="13">
        <v>44105</v>
      </c>
      <c r="N4" s="13">
        <v>44197</v>
      </c>
      <c r="O4" s="13">
        <v>44287</v>
      </c>
      <c r="P4" s="13">
        <v>44378</v>
      </c>
      <c r="Q4" s="13">
        <v>44470</v>
      </c>
      <c r="R4" s="13">
        <v>44562</v>
      </c>
      <c r="S4" s="13">
        <v>44652</v>
      </c>
      <c r="T4" s="5"/>
    </row>
    <row r="5" spans="1:20" ht="30" hidden="1" outlineLevel="1" collapsed="1" x14ac:dyDescent="0.25">
      <c r="A5" s="15" t="s">
        <v>8</v>
      </c>
      <c r="B5" s="15" t="s">
        <v>11</v>
      </c>
      <c r="C5" s="15" t="s">
        <v>12</v>
      </c>
      <c r="D5" s="16" t="s">
        <v>13</v>
      </c>
      <c r="E5" s="17" t="s">
        <v>14</v>
      </c>
      <c r="F5" s="17" t="s">
        <v>15</v>
      </c>
      <c r="G5" s="16" t="s">
        <v>16</v>
      </c>
      <c r="H5" s="19" t="s">
        <v>10</v>
      </c>
      <c r="I5" s="21" t="s">
        <v>17</v>
      </c>
      <c r="J5" s="23" t="s">
        <v>18</v>
      </c>
      <c r="K5" s="25" t="s">
        <v>19</v>
      </c>
      <c r="L5" s="25" t="s">
        <v>10</v>
      </c>
      <c r="M5" s="21" t="s">
        <v>17</v>
      </c>
      <c r="N5" s="23" t="s">
        <v>18</v>
      </c>
      <c r="O5" s="25" t="s">
        <v>19</v>
      </c>
      <c r="P5" s="25" t="s">
        <v>10</v>
      </c>
      <c r="Q5" s="21" t="s">
        <v>17</v>
      </c>
      <c r="R5" s="23" t="s">
        <v>18</v>
      </c>
      <c r="S5" s="25" t="s">
        <v>19</v>
      </c>
      <c r="T5" s="5"/>
    </row>
    <row r="6" spans="1:20" hidden="1" outlineLevel="1" x14ac:dyDescent="0.25">
      <c r="A6" s="27"/>
      <c r="B6" s="27"/>
      <c r="C6" s="30"/>
      <c r="D6" s="27"/>
      <c r="E6" s="37"/>
      <c r="F6" s="27"/>
      <c r="G6" s="39"/>
      <c r="H6" s="31">
        <f t="shared" ref="H6:R6" si="0">IF($E6&lt;I$4,($G6*1.3)/4,0)</f>
        <v>0</v>
      </c>
      <c r="I6" s="33">
        <f t="shared" si="0"/>
        <v>0</v>
      </c>
      <c r="J6" s="33">
        <f t="shared" si="0"/>
        <v>0</v>
      </c>
      <c r="K6" s="33">
        <f t="shared" si="0"/>
        <v>0</v>
      </c>
      <c r="L6" s="33">
        <f t="shared" si="0"/>
        <v>0</v>
      </c>
      <c r="M6" s="33">
        <f t="shared" si="0"/>
        <v>0</v>
      </c>
      <c r="N6" s="33">
        <f t="shared" si="0"/>
        <v>0</v>
      </c>
      <c r="O6" s="33">
        <f t="shared" si="0"/>
        <v>0</v>
      </c>
      <c r="P6" s="33">
        <f t="shared" si="0"/>
        <v>0</v>
      </c>
      <c r="Q6" s="33">
        <f t="shared" si="0"/>
        <v>0</v>
      </c>
      <c r="R6" s="33">
        <f t="shared" si="0"/>
        <v>0</v>
      </c>
      <c r="S6" s="33">
        <f t="shared" ref="S6:S24" si="1">IF($E6&lt;S$4,($G6*1.3)/4,0)</f>
        <v>0</v>
      </c>
      <c r="T6" s="5"/>
    </row>
    <row r="7" spans="1:20" hidden="1" outlineLevel="1" x14ac:dyDescent="0.25">
      <c r="A7" s="40"/>
      <c r="B7" s="40"/>
      <c r="C7" s="35"/>
      <c r="D7" s="40"/>
      <c r="E7" s="42"/>
      <c r="F7" s="43"/>
      <c r="G7" s="44"/>
      <c r="H7" s="31">
        <f t="shared" ref="H7:R7" si="2">IF($E7&lt;I$4,($G7*1.3)/4,0)</f>
        <v>0</v>
      </c>
      <c r="I7" s="33">
        <f t="shared" si="2"/>
        <v>0</v>
      </c>
      <c r="J7" s="33">
        <f t="shared" si="2"/>
        <v>0</v>
      </c>
      <c r="K7" s="33">
        <f t="shared" si="2"/>
        <v>0</v>
      </c>
      <c r="L7" s="33">
        <f t="shared" si="2"/>
        <v>0</v>
      </c>
      <c r="M7" s="33">
        <f t="shared" si="2"/>
        <v>0</v>
      </c>
      <c r="N7" s="33">
        <f t="shared" si="2"/>
        <v>0</v>
      </c>
      <c r="O7" s="33">
        <f t="shared" si="2"/>
        <v>0</v>
      </c>
      <c r="P7" s="33">
        <f t="shared" si="2"/>
        <v>0</v>
      </c>
      <c r="Q7" s="33">
        <f t="shared" si="2"/>
        <v>0</v>
      </c>
      <c r="R7" s="33">
        <f t="shared" si="2"/>
        <v>0</v>
      </c>
      <c r="S7" s="33">
        <f t="shared" si="1"/>
        <v>0</v>
      </c>
      <c r="T7" s="5"/>
    </row>
    <row r="8" spans="1:20" hidden="1" outlineLevel="1" x14ac:dyDescent="0.25">
      <c r="A8" s="40"/>
      <c r="B8" s="40"/>
      <c r="C8" s="35"/>
      <c r="D8" s="40"/>
      <c r="E8" s="42"/>
      <c r="F8" s="43"/>
      <c r="G8" s="44"/>
      <c r="H8" s="31">
        <f t="shared" ref="H8:R8" si="3">IF($E8&lt;I$4,($G8*1.3)/4,0)</f>
        <v>0</v>
      </c>
      <c r="I8" s="33">
        <f t="shared" si="3"/>
        <v>0</v>
      </c>
      <c r="J8" s="33">
        <f t="shared" si="3"/>
        <v>0</v>
      </c>
      <c r="K8" s="33">
        <f t="shared" si="3"/>
        <v>0</v>
      </c>
      <c r="L8" s="33">
        <f t="shared" si="3"/>
        <v>0</v>
      </c>
      <c r="M8" s="33">
        <f t="shared" si="3"/>
        <v>0</v>
      </c>
      <c r="N8" s="33">
        <f t="shared" si="3"/>
        <v>0</v>
      </c>
      <c r="O8" s="33">
        <f t="shared" si="3"/>
        <v>0</v>
      </c>
      <c r="P8" s="33">
        <f t="shared" si="3"/>
        <v>0</v>
      </c>
      <c r="Q8" s="33">
        <f t="shared" si="3"/>
        <v>0</v>
      </c>
      <c r="R8" s="33">
        <f t="shared" si="3"/>
        <v>0</v>
      </c>
      <c r="S8" s="33">
        <f t="shared" si="1"/>
        <v>0</v>
      </c>
      <c r="T8" s="5"/>
    </row>
    <row r="9" spans="1:20" hidden="1" outlineLevel="1" x14ac:dyDescent="0.25">
      <c r="A9" s="40"/>
      <c r="B9" s="40"/>
      <c r="C9" s="35"/>
      <c r="D9" s="40"/>
      <c r="E9" s="42"/>
      <c r="F9" s="43"/>
      <c r="G9" s="44"/>
      <c r="H9" s="31">
        <f t="shared" ref="H9:R9" si="4">IF($E9&lt;I$4,($G9*1.3)/4,0)</f>
        <v>0</v>
      </c>
      <c r="I9" s="33">
        <f t="shared" si="4"/>
        <v>0</v>
      </c>
      <c r="J9" s="33">
        <f t="shared" si="4"/>
        <v>0</v>
      </c>
      <c r="K9" s="33">
        <f t="shared" si="4"/>
        <v>0</v>
      </c>
      <c r="L9" s="33">
        <f t="shared" si="4"/>
        <v>0</v>
      </c>
      <c r="M9" s="33">
        <f t="shared" si="4"/>
        <v>0</v>
      </c>
      <c r="N9" s="33">
        <f t="shared" si="4"/>
        <v>0</v>
      </c>
      <c r="O9" s="33">
        <f t="shared" si="4"/>
        <v>0</v>
      </c>
      <c r="P9" s="33">
        <f t="shared" si="4"/>
        <v>0</v>
      </c>
      <c r="Q9" s="33">
        <f t="shared" si="4"/>
        <v>0</v>
      </c>
      <c r="R9" s="33">
        <f t="shared" si="4"/>
        <v>0</v>
      </c>
      <c r="S9" s="33">
        <f t="shared" si="1"/>
        <v>0</v>
      </c>
      <c r="T9" s="5"/>
    </row>
    <row r="10" spans="1:20" hidden="1" outlineLevel="1" x14ac:dyDescent="0.25">
      <c r="A10" s="40"/>
      <c r="B10" s="40"/>
      <c r="C10" s="35"/>
      <c r="D10" s="40"/>
      <c r="E10" s="42"/>
      <c r="F10" s="43"/>
      <c r="G10" s="44"/>
      <c r="H10" s="31">
        <f t="shared" ref="H10:R10" si="5">IF($E10&lt;I$4,($G10*1.3)/4,0)</f>
        <v>0</v>
      </c>
      <c r="I10" s="33">
        <f t="shared" si="5"/>
        <v>0</v>
      </c>
      <c r="J10" s="33">
        <f t="shared" si="5"/>
        <v>0</v>
      </c>
      <c r="K10" s="33">
        <f t="shared" si="5"/>
        <v>0</v>
      </c>
      <c r="L10" s="33">
        <f t="shared" si="5"/>
        <v>0</v>
      </c>
      <c r="M10" s="33">
        <f t="shared" si="5"/>
        <v>0</v>
      </c>
      <c r="N10" s="33">
        <f t="shared" si="5"/>
        <v>0</v>
      </c>
      <c r="O10" s="33">
        <f t="shared" si="5"/>
        <v>0</v>
      </c>
      <c r="P10" s="33">
        <f t="shared" si="5"/>
        <v>0</v>
      </c>
      <c r="Q10" s="33">
        <f t="shared" si="5"/>
        <v>0</v>
      </c>
      <c r="R10" s="33">
        <f t="shared" si="5"/>
        <v>0</v>
      </c>
      <c r="S10" s="33">
        <f t="shared" si="1"/>
        <v>0</v>
      </c>
      <c r="T10" s="5"/>
    </row>
    <row r="11" spans="1:20" hidden="1" outlineLevel="1" x14ac:dyDescent="0.25">
      <c r="A11" s="40"/>
      <c r="B11" s="40"/>
      <c r="C11" s="35"/>
      <c r="D11" s="40"/>
      <c r="E11" s="42"/>
      <c r="F11" s="43"/>
      <c r="G11" s="44"/>
      <c r="H11" s="31">
        <f t="shared" ref="H11:R11" si="6">IF($E11&lt;I$4,($G11*1.3)/4,0)</f>
        <v>0</v>
      </c>
      <c r="I11" s="33">
        <f t="shared" si="6"/>
        <v>0</v>
      </c>
      <c r="J11" s="33">
        <f t="shared" si="6"/>
        <v>0</v>
      </c>
      <c r="K11" s="33">
        <f t="shared" si="6"/>
        <v>0</v>
      </c>
      <c r="L11" s="33">
        <f t="shared" si="6"/>
        <v>0</v>
      </c>
      <c r="M11" s="33">
        <f t="shared" si="6"/>
        <v>0</v>
      </c>
      <c r="N11" s="33">
        <f t="shared" si="6"/>
        <v>0</v>
      </c>
      <c r="O11" s="33">
        <f t="shared" si="6"/>
        <v>0</v>
      </c>
      <c r="P11" s="33">
        <f t="shared" si="6"/>
        <v>0</v>
      </c>
      <c r="Q11" s="33">
        <f t="shared" si="6"/>
        <v>0</v>
      </c>
      <c r="R11" s="33">
        <f t="shared" si="6"/>
        <v>0</v>
      </c>
      <c r="S11" s="33">
        <f t="shared" si="1"/>
        <v>0</v>
      </c>
      <c r="T11" s="5"/>
    </row>
    <row r="12" spans="1:20" hidden="1" outlineLevel="1" x14ac:dyDescent="0.25">
      <c r="A12" s="40"/>
      <c r="B12" s="40"/>
      <c r="C12" s="35"/>
      <c r="D12" s="40"/>
      <c r="E12" s="42"/>
      <c r="F12" s="43"/>
      <c r="G12" s="44"/>
      <c r="H12" s="31">
        <f t="shared" ref="H12:R12" si="7">IF($E12&lt;I$4,($G12*1.3)/4,0)</f>
        <v>0</v>
      </c>
      <c r="I12" s="33">
        <f t="shared" si="7"/>
        <v>0</v>
      </c>
      <c r="J12" s="33">
        <f t="shared" si="7"/>
        <v>0</v>
      </c>
      <c r="K12" s="33">
        <f t="shared" si="7"/>
        <v>0</v>
      </c>
      <c r="L12" s="33">
        <f t="shared" si="7"/>
        <v>0</v>
      </c>
      <c r="M12" s="33">
        <f t="shared" si="7"/>
        <v>0</v>
      </c>
      <c r="N12" s="33">
        <f t="shared" si="7"/>
        <v>0</v>
      </c>
      <c r="O12" s="33">
        <f t="shared" si="7"/>
        <v>0</v>
      </c>
      <c r="P12" s="33">
        <f t="shared" si="7"/>
        <v>0</v>
      </c>
      <c r="Q12" s="33">
        <f t="shared" si="7"/>
        <v>0</v>
      </c>
      <c r="R12" s="33">
        <f t="shared" si="7"/>
        <v>0</v>
      </c>
      <c r="S12" s="33">
        <f t="shared" si="1"/>
        <v>0</v>
      </c>
      <c r="T12" s="5"/>
    </row>
    <row r="13" spans="1:20" hidden="1" outlineLevel="1" x14ac:dyDescent="0.25">
      <c r="A13" s="40"/>
      <c r="B13" s="40"/>
      <c r="C13" s="35"/>
      <c r="D13" s="40"/>
      <c r="E13" s="42"/>
      <c r="F13" s="43"/>
      <c r="G13" s="44"/>
      <c r="H13" s="31">
        <f t="shared" ref="H13:R13" si="8">IF($E13&lt;I$4,($G13*1.3)/4,0)</f>
        <v>0</v>
      </c>
      <c r="I13" s="33">
        <f t="shared" si="8"/>
        <v>0</v>
      </c>
      <c r="J13" s="33">
        <f t="shared" si="8"/>
        <v>0</v>
      </c>
      <c r="K13" s="33">
        <f t="shared" si="8"/>
        <v>0</v>
      </c>
      <c r="L13" s="33">
        <f t="shared" si="8"/>
        <v>0</v>
      </c>
      <c r="M13" s="33">
        <f t="shared" si="8"/>
        <v>0</v>
      </c>
      <c r="N13" s="33">
        <f t="shared" si="8"/>
        <v>0</v>
      </c>
      <c r="O13" s="33">
        <f t="shared" si="8"/>
        <v>0</v>
      </c>
      <c r="P13" s="33">
        <f t="shared" si="8"/>
        <v>0</v>
      </c>
      <c r="Q13" s="33">
        <f t="shared" si="8"/>
        <v>0</v>
      </c>
      <c r="R13" s="33">
        <f t="shared" si="8"/>
        <v>0</v>
      </c>
      <c r="S13" s="33">
        <f t="shared" si="1"/>
        <v>0</v>
      </c>
      <c r="T13" s="5"/>
    </row>
    <row r="14" spans="1:20" hidden="1" outlineLevel="1" x14ac:dyDescent="0.25">
      <c r="A14" s="40"/>
      <c r="B14" s="40"/>
      <c r="C14" s="35"/>
      <c r="D14" s="40"/>
      <c r="E14" s="42"/>
      <c r="F14" s="43"/>
      <c r="G14" s="44"/>
      <c r="H14" s="31">
        <f t="shared" ref="H14:R14" si="9">IF($E14&lt;I$4,($G14*1.3)/4,0)</f>
        <v>0</v>
      </c>
      <c r="I14" s="33">
        <f t="shared" si="9"/>
        <v>0</v>
      </c>
      <c r="J14" s="33">
        <f t="shared" si="9"/>
        <v>0</v>
      </c>
      <c r="K14" s="33">
        <f t="shared" si="9"/>
        <v>0</v>
      </c>
      <c r="L14" s="33">
        <f t="shared" si="9"/>
        <v>0</v>
      </c>
      <c r="M14" s="33">
        <f t="shared" si="9"/>
        <v>0</v>
      </c>
      <c r="N14" s="33">
        <f t="shared" si="9"/>
        <v>0</v>
      </c>
      <c r="O14" s="33">
        <f t="shared" si="9"/>
        <v>0</v>
      </c>
      <c r="P14" s="33">
        <f t="shared" si="9"/>
        <v>0</v>
      </c>
      <c r="Q14" s="33">
        <f t="shared" si="9"/>
        <v>0</v>
      </c>
      <c r="R14" s="33">
        <f t="shared" si="9"/>
        <v>0</v>
      </c>
      <c r="S14" s="33">
        <f t="shared" si="1"/>
        <v>0</v>
      </c>
      <c r="T14" s="5"/>
    </row>
    <row r="15" spans="1:20" hidden="1" outlineLevel="1" x14ac:dyDescent="0.25">
      <c r="A15" s="40"/>
      <c r="B15" s="40"/>
      <c r="C15" s="35"/>
      <c r="D15" s="40"/>
      <c r="E15" s="42"/>
      <c r="F15" s="43"/>
      <c r="G15" s="44"/>
      <c r="H15" s="31">
        <f t="shared" ref="H15:R15" si="10">IF($E15&lt;I$4,($G15*1.3)/4,0)</f>
        <v>0</v>
      </c>
      <c r="I15" s="33">
        <f t="shared" si="10"/>
        <v>0</v>
      </c>
      <c r="J15" s="33">
        <f t="shared" si="10"/>
        <v>0</v>
      </c>
      <c r="K15" s="33">
        <f t="shared" si="10"/>
        <v>0</v>
      </c>
      <c r="L15" s="33">
        <f t="shared" si="10"/>
        <v>0</v>
      </c>
      <c r="M15" s="33">
        <f t="shared" si="10"/>
        <v>0</v>
      </c>
      <c r="N15" s="33">
        <f t="shared" si="10"/>
        <v>0</v>
      </c>
      <c r="O15" s="33">
        <f t="shared" si="10"/>
        <v>0</v>
      </c>
      <c r="P15" s="33">
        <f t="shared" si="10"/>
        <v>0</v>
      </c>
      <c r="Q15" s="33">
        <f t="shared" si="10"/>
        <v>0</v>
      </c>
      <c r="R15" s="33">
        <f t="shared" si="10"/>
        <v>0</v>
      </c>
      <c r="S15" s="33">
        <f t="shared" si="1"/>
        <v>0</v>
      </c>
      <c r="T15" s="5"/>
    </row>
    <row r="16" spans="1:20" hidden="1" outlineLevel="1" x14ac:dyDescent="0.25">
      <c r="A16" s="40"/>
      <c r="B16" s="40"/>
      <c r="C16" s="35"/>
      <c r="D16" s="40"/>
      <c r="E16" s="42"/>
      <c r="F16" s="43"/>
      <c r="G16" s="44"/>
      <c r="H16" s="31">
        <f t="shared" ref="H16:R16" si="11">IF($E16&lt;I$4,($G16*1.3)/4,0)</f>
        <v>0</v>
      </c>
      <c r="I16" s="33">
        <f t="shared" si="11"/>
        <v>0</v>
      </c>
      <c r="J16" s="33">
        <f t="shared" si="11"/>
        <v>0</v>
      </c>
      <c r="K16" s="33">
        <f t="shared" si="11"/>
        <v>0</v>
      </c>
      <c r="L16" s="33">
        <f t="shared" si="11"/>
        <v>0</v>
      </c>
      <c r="M16" s="33">
        <f t="shared" si="11"/>
        <v>0</v>
      </c>
      <c r="N16" s="33">
        <f t="shared" si="11"/>
        <v>0</v>
      </c>
      <c r="O16" s="33">
        <f t="shared" si="11"/>
        <v>0</v>
      </c>
      <c r="P16" s="33">
        <f t="shared" si="11"/>
        <v>0</v>
      </c>
      <c r="Q16" s="33">
        <f t="shared" si="11"/>
        <v>0</v>
      </c>
      <c r="R16" s="33">
        <f t="shared" si="11"/>
        <v>0</v>
      </c>
      <c r="S16" s="33">
        <f t="shared" si="1"/>
        <v>0</v>
      </c>
      <c r="T16" s="5"/>
    </row>
    <row r="17" spans="1:20" hidden="1" outlineLevel="1" x14ac:dyDescent="0.25">
      <c r="A17" s="40"/>
      <c r="B17" s="40"/>
      <c r="C17" s="35"/>
      <c r="D17" s="40"/>
      <c r="E17" s="40"/>
      <c r="F17" s="43"/>
      <c r="G17" s="44"/>
      <c r="H17" s="31">
        <f t="shared" ref="H17:R17" si="12">IF($E17&lt;I$4,($G17*1.3)/4,0)</f>
        <v>0</v>
      </c>
      <c r="I17" s="33">
        <f t="shared" si="12"/>
        <v>0</v>
      </c>
      <c r="J17" s="33">
        <f t="shared" si="12"/>
        <v>0</v>
      </c>
      <c r="K17" s="33">
        <f t="shared" si="12"/>
        <v>0</v>
      </c>
      <c r="L17" s="33">
        <f t="shared" si="12"/>
        <v>0</v>
      </c>
      <c r="M17" s="33">
        <f t="shared" si="12"/>
        <v>0</v>
      </c>
      <c r="N17" s="33">
        <f t="shared" si="12"/>
        <v>0</v>
      </c>
      <c r="O17" s="33">
        <f t="shared" si="12"/>
        <v>0</v>
      </c>
      <c r="P17" s="33">
        <f t="shared" si="12"/>
        <v>0</v>
      </c>
      <c r="Q17" s="33">
        <f t="shared" si="12"/>
        <v>0</v>
      </c>
      <c r="R17" s="33">
        <f t="shared" si="12"/>
        <v>0</v>
      </c>
      <c r="S17" s="33">
        <f t="shared" si="1"/>
        <v>0</v>
      </c>
      <c r="T17" s="5"/>
    </row>
    <row r="18" spans="1:20" hidden="1" outlineLevel="1" x14ac:dyDescent="0.25">
      <c r="A18" s="40"/>
      <c r="B18" s="40"/>
      <c r="C18" s="35"/>
      <c r="D18" s="40"/>
      <c r="E18" s="40"/>
      <c r="F18" s="43"/>
      <c r="G18" s="44"/>
      <c r="H18" s="31">
        <f t="shared" ref="H18:R18" si="13">IF($E18&lt;I$4,($G18*1.3)/4,0)</f>
        <v>0</v>
      </c>
      <c r="I18" s="33">
        <f t="shared" si="13"/>
        <v>0</v>
      </c>
      <c r="J18" s="33">
        <f t="shared" si="13"/>
        <v>0</v>
      </c>
      <c r="K18" s="33">
        <f t="shared" si="13"/>
        <v>0</v>
      </c>
      <c r="L18" s="33">
        <f t="shared" si="13"/>
        <v>0</v>
      </c>
      <c r="M18" s="33">
        <f t="shared" si="13"/>
        <v>0</v>
      </c>
      <c r="N18" s="33">
        <f t="shared" si="13"/>
        <v>0</v>
      </c>
      <c r="O18" s="33">
        <f t="shared" si="13"/>
        <v>0</v>
      </c>
      <c r="P18" s="33">
        <f t="shared" si="13"/>
        <v>0</v>
      </c>
      <c r="Q18" s="33">
        <f t="shared" si="13"/>
        <v>0</v>
      </c>
      <c r="R18" s="33">
        <f t="shared" si="13"/>
        <v>0</v>
      </c>
      <c r="S18" s="33">
        <f t="shared" si="1"/>
        <v>0</v>
      </c>
      <c r="T18" s="5"/>
    </row>
    <row r="19" spans="1:20" hidden="1" outlineLevel="1" x14ac:dyDescent="0.25">
      <c r="A19" s="40"/>
      <c r="B19" s="40"/>
      <c r="C19" s="35"/>
      <c r="D19" s="40"/>
      <c r="E19" s="40"/>
      <c r="F19" s="43"/>
      <c r="G19" s="44"/>
      <c r="H19" s="31">
        <f t="shared" ref="H19:R19" si="14">IF($E19&lt;I$4,($G19*1.3)/4,0)</f>
        <v>0</v>
      </c>
      <c r="I19" s="33">
        <f t="shared" si="14"/>
        <v>0</v>
      </c>
      <c r="J19" s="33">
        <f t="shared" si="14"/>
        <v>0</v>
      </c>
      <c r="K19" s="33">
        <f t="shared" si="14"/>
        <v>0</v>
      </c>
      <c r="L19" s="33">
        <f t="shared" si="14"/>
        <v>0</v>
      </c>
      <c r="M19" s="33">
        <f t="shared" si="14"/>
        <v>0</v>
      </c>
      <c r="N19" s="33">
        <f t="shared" si="14"/>
        <v>0</v>
      </c>
      <c r="O19" s="33">
        <f t="shared" si="14"/>
        <v>0</v>
      </c>
      <c r="P19" s="33">
        <f t="shared" si="14"/>
        <v>0</v>
      </c>
      <c r="Q19" s="33">
        <f t="shared" si="14"/>
        <v>0</v>
      </c>
      <c r="R19" s="33">
        <f t="shared" si="14"/>
        <v>0</v>
      </c>
      <c r="S19" s="33">
        <f t="shared" si="1"/>
        <v>0</v>
      </c>
      <c r="T19" s="5"/>
    </row>
    <row r="20" spans="1:20" hidden="1" outlineLevel="1" x14ac:dyDescent="0.25">
      <c r="A20" s="40"/>
      <c r="B20" s="40"/>
      <c r="C20" s="35"/>
      <c r="D20" s="40"/>
      <c r="E20" s="43"/>
      <c r="F20" s="43"/>
      <c r="G20" s="44"/>
      <c r="H20" s="31">
        <f t="shared" ref="H20:R20" si="15">IF($E20&lt;I$4,($G20*1.3)/4,0)</f>
        <v>0</v>
      </c>
      <c r="I20" s="33">
        <f t="shared" si="15"/>
        <v>0</v>
      </c>
      <c r="J20" s="33">
        <f t="shared" si="15"/>
        <v>0</v>
      </c>
      <c r="K20" s="33">
        <f t="shared" si="15"/>
        <v>0</v>
      </c>
      <c r="L20" s="33">
        <f t="shared" si="15"/>
        <v>0</v>
      </c>
      <c r="M20" s="33">
        <f t="shared" si="15"/>
        <v>0</v>
      </c>
      <c r="N20" s="33">
        <f t="shared" si="15"/>
        <v>0</v>
      </c>
      <c r="O20" s="33">
        <f t="shared" si="15"/>
        <v>0</v>
      </c>
      <c r="P20" s="33">
        <f t="shared" si="15"/>
        <v>0</v>
      </c>
      <c r="Q20" s="33">
        <f t="shared" si="15"/>
        <v>0</v>
      </c>
      <c r="R20" s="33">
        <f t="shared" si="15"/>
        <v>0</v>
      </c>
      <c r="S20" s="33">
        <f t="shared" si="1"/>
        <v>0</v>
      </c>
      <c r="T20" s="5"/>
    </row>
    <row r="21" spans="1:20" hidden="1" outlineLevel="1" x14ac:dyDescent="0.25">
      <c r="A21" s="40"/>
      <c r="B21" s="40"/>
      <c r="C21" s="35"/>
      <c r="D21" s="40"/>
      <c r="E21" s="43"/>
      <c r="F21" s="43"/>
      <c r="G21" s="44"/>
      <c r="H21" s="31">
        <f t="shared" ref="H21:R21" si="16">IF($E21&lt;I$4,($G21*1.3)/4,0)</f>
        <v>0</v>
      </c>
      <c r="I21" s="33">
        <f t="shared" si="16"/>
        <v>0</v>
      </c>
      <c r="J21" s="33">
        <f t="shared" si="16"/>
        <v>0</v>
      </c>
      <c r="K21" s="33">
        <f t="shared" si="16"/>
        <v>0</v>
      </c>
      <c r="L21" s="33">
        <f t="shared" si="16"/>
        <v>0</v>
      </c>
      <c r="M21" s="33">
        <f t="shared" si="16"/>
        <v>0</v>
      </c>
      <c r="N21" s="33">
        <f t="shared" si="16"/>
        <v>0</v>
      </c>
      <c r="O21" s="33">
        <f t="shared" si="16"/>
        <v>0</v>
      </c>
      <c r="P21" s="33">
        <f t="shared" si="16"/>
        <v>0</v>
      </c>
      <c r="Q21" s="33">
        <f t="shared" si="16"/>
        <v>0</v>
      </c>
      <c r="R21" s="33">
        <f t="shared" si="16"/>
        <v>0</v>
      </c>
      <c r="S21" s="33">
        <f t="shared" si="1"/>
        <v>0</v>
      </c>
      <c r="T21" s="5"/>
    </row>
    <row r="22" spans="1:20" hidden="1" outlineLevel="1" x14ac:dyDescent="0.25">
      <c r="A22" s="66"/>
      <c r="B22" s="66"/>
      <c r="C22" s="76"/>
      <c r="D22" s="77"/>
      <c r="E22" s="66"/>
      <c r="F22" s="66"/>
      <c r="G22" s="79"/>
      <c r="H22" s="31">
        <f t="shared" ref="H22:R22" si="17">IF($E22&lt;I$4,($G22*1.3)/4,0)</f>
        <v>0</v>
      </c>
      <c r="I22" s="33">
        <f t="shared" si="17"/>
        <v>0</v>
      </c>
      <c r="J22" s="33">
        <f t="shared" si="17"/>
        <v>0</v>
      </c>
      <c r="K22" s="33">
        <f t="shared" si="17"/>
        <v>0</v>
      </c>
      <c r="L22" s="33">
        <f t="shared" si="17"/>
        <v>0</v>
      </c>
      <c r="M22" s="33">
        <f t="shared" si="17"/>
        <v>0</v>
      </c>
      <c r="N22" s="33">
        <f t="shared" si="17"/>
        <v>0</v>
      </c>
      <c r="O22" s="33">
        <f t="shared" si="17"/>
        <v>0</v>
      </c>
      <c r="P22" s="33">
        <f t="shared" si="17"/>
        <v>0</v>
      </c>
      <c r="Q22" s="33">
        <f t="shared" si="17"/>
        <v>0</v>
      </c>
      <c r="R22" s="33">
        <f t="shared" si="17"/>
        <v>0</v>
      </c>
      <c r="S22" s="33">
        <f t="shared" si="1"/>
        <v>0</v>
      </c>
      <c r="T22" s="5"/>
    </row>
    <row r="23" spans="1:20" hidden="1" outlineLevel="1" x14ac:dyDescent="0.25">
      <c r="A23" s="66"/>
      <c r="B23" s="66"/>
      <c r="C23" s="76"/>
      <c r="D23" s="77"/>
      <c r="E23" s="66"/>
      <c r="F23" s="66"/>
      <c r="G23" s="79"/>
      <c r="H23" s="31">
        <f t="shared" ref="H23:R23" si="18">IF($E23&lt;I$4,($G23*1.3)/4,0)</f>
        <v>0</v>
      </c>
      <c r="I23" s="33">
        <f t="shared" si="18"/>
        <v>0</v>
      </c>
      <c r="J23" s="33">
        <f t="shared" si="18"/>
        <v>0</v>
      </c>
      <c r="K23" s="33">
        <f t="shared" si="18"/>
        <v>0</v>
      </c>
      <c r="L23" s="33">
        <f t="shared" si="18"/>
        <v>0</v>
      </c>
      <c r="M23" s="33">
        <f t="shared" si="18"/>
        <v>0</v>
      </c>
      <c r="N23" s="33">
        <f t="shared" si="18"/>
        <v>0</v>
      </c>
      <c r="O23" s="33">
        <f t="shared" si="18"/>
        <v>0</v>
      </c>
      <c r="P23" s="33">
        <f t="shared" si="18"/>
        <v>0</v>
      </c>
      <c r="Q23" s="33">
        <f t="shared" si="18"/>
        <v>0</v>
      </c>
      <c r="R23" s="33">
        <f t="shared" si="18"/>
        <v>0</v>
      </c>
      <c r="S23" s="33">
        <f t="shared" si="1"/>
        <v>0</v>
      </c>
      <c r="T23" s="5"/>
    </row>
    <row r="24" spans="1:20" hidden="1" outlineLevel="1" x14ac:dyDescent="0.25">
      <c r="A24" s="66"/>
      <c r="B24" s="66"/>
      <c r="C24" s="76"/>
      <c r="D24" s="77"/>
      <c r="E24" s="66"/>
      <c r="F24" s="66"/>
      <c r="G24" s="79"/>
      <c r="H24" s="31">
        <f t="shared" ref="H24:R24" si="19">IF($E24&lt;I$4,($G24*1.3)/4,0)</f>
        <v>0</v>
      </c>
      <c r="I24" s="33">
        <f t="shared" si="19"/>
        <v>0</v>
      </c>
      <c r="J24" s="33">
        <f t="shared" si="19"/>
        <v>0</v>
      </c>
      <c r="K24" s="33">
        <f t="shared" si="19"/>
        <v>0</v>
      </c>
      <c r="L24" s="33">
        <f t="shared" si="19"/>
        <v>0</v>
      </c>
      <c r="M24" s="33">
        <f t="shared" si="19"/>
        <v>0</v>
      </c>
      <c r="N24" s="33">
        <f t="shared" si="19"/>
        <v>0</v>
      </c>
      <c r="O24" s="33">
        <f t="shared" si="19"/>
        <v>0</v>
      </c>
      <c r="P24" s="33">
        <f t="shared" si="19"/>
        <v>0</v>
      </c>
      <c r="Q24" s="33">
        <f t="shared" si="19"/>
        <v>0</v>
      </c>
      <c r="R24" s="33">
        <f t="shared" si="19"/>
        <v>0</v>
      </c>
      <c r="S24" s="33">
        <f t="shared" si="1"/>
        <v>0</v>
      </c>
      <c r="T24" s="5"/>
    </row>
    <row r="25" spans="1:20" hidden="1" outlineLevel="1" x14ac:dyDescent="0.25">
      <c r="A25" s="50"/>
      <c r="B25" s="50"/>
      <c r="C25" s="50"/>
      <c r="D25" s="50"/>
      <c r="E25" s="50"/>
      <c r="F25" s="50"/>
      <c r="G25" s="50"/>
      <c r="H25" s="81">
        <f t="shared" ref="H25:S25" si="20">SUM(H6:H24)</f>
        <v>0</v>
      </c>
      <c r="I25" s="82">
        <f t="shared" si="20"/>
        <v>0</v>
      </c>
      <c r="J25" s="82">
        <f t="shared" si="20"/>
        <v>0</v>
      </c>
      <c r="K25" s="82">
        <f t="shared" si="20"/>
        <v>0</v>
      </c>
      <c r="L25" s="82">
        <f t="shared" si="20"/>
        <v>0</v>
      </c>
      <c r="M25" s="82">
        <f t="shared" si="20"/>
        <v>0</v>
      </c>
      <c r="N25" s="82">
        <f t="shared" si="20"/>
        <v>0</v>
      </c>
      <c r="O25" s="82">
        <f t="shared" si="20"/>
        <v>0</v>
      </c>
      <c r="P25" s="82">
        <f t="shared" si="20"/>
        <v>0</v>
      </c>
      <c r="Q25" s="82">
        <f t="shared" si="20"/>
        <v>0</v>
      </c>
      <c r="R25" s="82">
        <f t="shared" si="20"/>
        <v>0</v>
      </c>
      <c r="S25" s="82">
        <f t="shared" si="20"/>
        <v>0</v>
      </c>
      <c r="T25" s="5"/>
    </row>
    <row r="26" spans="1:20" collapsed="1" x14ac:dyDescent="0.25">
      <c r="B26" s="5"/>
      <c r="C26" s="5"/>
      <c r="D26" s="5"/>
      <c r="E26" s="5"/>
      <c r="F26" s="5"/>
      <c r="G26" s="5"/>
      <c r="H26" s="5"/>
      <c r="I26" s="5"/>
      <c r="J26" s="5"/>
      <c r="K26" s="5"/>
      <c r="L26" s="5"/>
      <c r="M26" s="5"/>
      <c r="N26" s="5"/>
      <c r="O26" s="5"/>
      <c r="P26" s="5"/>
      <c r="Q26" s="5"/>
      <c r="R26" s="5"/>
      <c r="S26" s="5"/>
    </row>
    <row r="27" spans="1:20" ht="18.75" x14ac:dyDescent="0.3">
      <c r="A27" s="7" t="s">
        <v>67</v>
      </c>
      <c r="B27" s="5"/>
      <c r="C27" s="5"/>
      <c r="D27" s="5"/>
      <c r="E27" s="5"/>
      <c r="F27" s="5"/>
      <c r="G27" s="5"/>
      <c r="H27" s="790">
        <v>2019</v>
      </c>
      <c r="I27" s="789"/>
      <c r="J27" s="787">
        <v>2020</v>
      </c>
      <c r="K27" s="788"/>
      <c r="L27" s="788"/>
      <c r="M27" s="789"/>
      <c r="N27" s="787">
        <v>2021</v>
      </c>
      <c r="O27" s="788"/>
      <c r="P27" s="788"/>
      <c r="Q27" s="789"/>
      <c r="R27" s="790">
        <v>2022</v>
      </c>
      <c r="S27" s="789"/>
    </row>
    <row r="28" spans="1:20" ht="30" x14ac:dyDescent="0.25">
      <c r="A28" s="54" t="s">
        <v>8</v>
      </c>
      <c r="B28" s="54" t="s">
        <v>11</v>
      </c>
      <c r="C28" s="54" t="s">
        <v>71</v>
      </c>
      <c r="D28" s="791" t="s">
        <v>72</v>
      </c>
      <c r="E28" s="792"/>
      <c r="F28" s="793"/>
      <c r="G28" s="55" t="s">
        <v>73</v>
      </c>
      <c r="H28" s="18" t="s">
        <v>10</v>
      </c>
      <c r="I28" s="20" t="s">
        <v>17</v>
      </c>
      <c r="J28" s="22" t="s">
        <v>18</v>
      </c>
      <c r="K28" s="18" t="s">
        <v>19</v>
      </c>
      <c r="L28" s="18" t="s">
        <v>10</v>
      </c>
      <c r="M28" s="20" t="s">
        <v>17</v>
      </c>
      <c r="N28" s="22" t="s">
        <v>18</v>
      </c>
      <c r="O28" s="18" t="s">
        <v>19</v>
      </c>
      <c r="P28" s="18" t="s">
        <v>10</v>
      </c>
      <c r="Q28" s="20" t="s">
        <v>17</v>
      </c>
      <c r="R28" s="22" t="s">
        <v>18</v>
      </c>
      <c r="S28" s="18" t="s">
        <v>19</v>
      </c>
    </row>
    <row r="29" spans="1:20" ht="15.75" x14ac:dyDescent="0.25">
      <c r="A29" s="119" t="s">
        <v>95</v>
      </c>
      <c r="B29" s="451" t="s">
        <v>302</v>
      </c>
      <c r="C29" s="40" t="s">
        <v>96</v>
      </c>
      <c r="D29" s="85" t="s">
        <v>97</v>
      </c>
      <c r="E29" s="86"/>
      <c r="F29" s="87"/>
      <c r="G29" s="58"/>
      <c r="H29" s="56"/>
      <c r="I29" s="57">
        <f>50000/4</f>
        <v>12500</v>
      </c>
      <c r="J29" s="57">
        <f t="shared" ref="J29:L29" si="21">I29</f>
        <v>12500</v>
      </c>
      <c r="K29" s="57">
        <f t="shared" si="21"/>
        <v>12500</v>
      </c>
      <c r="L29" s="57">
        <f t="shared" si="21"/>
        <v>12500</v>
      </c>
      <c r="M29" s="57"/>
      <c r="N29" s="57"/>
      <c r="O29" s="57"/>
      <c r="P29" s="57"/>
      <c r="Q29" s="57"/>
      <c r="R29" s="57"/>
      <c r="S29" s="57"/>
    </row>
    <row r="31" spans="1:20" ht="105" x14ac:dyDescent="0.25">
      <c r="A31" s="40" t="s">
        <v>100</v>
      </c>
      <c r="B31" s="451" t="s">
        <v>307</v>
      </c>
      <c r="C31" s="794" t="s">
        <v>103</v>
      </c>
      <c r="D31" s="795"/>
      <c r="E31" s="795"/>
      <c r="F31" s="796"/>
      <c r="G31" s="89" t="s">
        <v>104</v>
      </c>
      <c r="H31" s="56"/>
      <c r="I31" s="57">
        <f>'I. TECH'!J26*(500/4)</f>
        <v>750</v>
      </c>
      <c r="J31" s="57">
        <f>'I. TECH'!K26*(500/4)</f>
        <v>1500</v>
      </c>
      <c r="K31" s="57">
        <f>'I. TECH'!L26*(500/4)</f>
        <v>1500</v>
      </c>
      <c r="L31" s="57">
        <f>'I. TECH'!M26*(500/4)</f>
        <v>1750</v>
      </c>
      <c r="M31" s="57">
        <f>'I. TECH'!N26*(500/4)</f>
        <v>1750</v>
      </c>
      <c r="N31" s="57">
        <f>'I. TECH'!O26*(500/4)</f>
        <v>1750</v>
      </c>
      <c r="O31" s="57">
        <f>'I. TECH'!P26*(500/4)</f>
        <v>1750</v>
      </c>
      <c r="P31" s="57">
        <f>'I. TECH'!Q26*(500/4)</f>
        <v>1750</v>
      </c>
      <c r="Q31" s="57">
        <f>'I. TECH'!R26*(500/4)</f>
        <v>1750</v>
      </c>
      <c r="R31" s="57">
        <f>'I. TECH'!S26*(500/4)</f>
        <v>1750</v>
      </c>
      <c r="S31" s="57">
        <f>'I. TECH'!T26*(500/4)</f>
        <v>1750</v>
      </c>
    </row>
    <row r="32" spans="1:20" ht="105" x14ac:dyDescent="0.25">
      <c r="A32" s="40"/>
      <c r="B32" s="451" t="s">
        <v>308</v>
      </c>
      <c r="C32" s="40"/>
      <c r="D32" s="40"/>
      <c r="E32" s="40"/>
      <c r="F32" s="40"/>
      <c r="G32" s="89" t="s">
        <v>108</v>
      </c>
      <c r="H32" s="56"/>
      <c r="I32" s="57">
        <f>14*(500/4)</f>
        <v>1750</v>
      </c>
      <c r="J32" s="57">
        <f t="shared" ref="J32:S32" si="22">14*(500/4)</f>
        <v>1750</v>
      </c>
      <c r="K32" s="57">
        <f t="shared" si="22"/>
        <v>1750</v>
      </c>
      <c r="L32" s="57">
        <f t="shared" si="22"/>
        <v>1750</v>
      </c>
      <c r="M32" s="57">
        <f t="shared" si="22"/>
        <v>1750</v>
      </c>
      <c r="N32" s="57">
        <f t="shared" si="22"/>
        <v>1750</v>
      </c>
      <c r="O32" s="57">
        <f t="shared" si="22"/>
        <v>1750</v>
      </c>
      <c r="P32" s="57">
        <f t="shared" si="22"/>
        <v>1750</v>
      </c>
      <c r="Q32" s="57">
        <f t="shared" si="22"/>
        <v>1750</v>
      </c>
      <c r="R32" s="57">
        <f t="shared" si="22"/>
        <v>1750</v>
      </c>
      <c r="S32" s="57">
        <f t="shared" si="22"/>
        <v>1750</v>
      </c>
    </row>
    <row r="33" spans="1:19" x14ac:dyDescent="0.25">
      <c r="A33" s="40" t="s">
        <v>23</v>
      </c>
      <c r="B33" s="40" t="s">
        <v>42</v>
      </c>
      <c r="C33" s="40" t="s">
        <v>110</v>
      </c>
      <c r="D33" s="794" t="s">
        <v>111</v>
      </c>
      <c r="E33" s="795"/>
      <c r="F33" s="795"/>
      <c r="G33" s="796"/>
      <c r="H33" s="58"/>
      <c r="I33" s="57"/>
      <c r="J33" s="57"/>
      <c r="K33" s="57"/>
      <c r="L33" s="57"/>
      <c r="M33" s="57"/>
      <c r="N33" s="57"/>
      <c r="O33" s="57"/>
      <c r="P33" s="57"/>
      <c r="Q33" s="57"/>
      <c r="R33" s="57"/>
      <c r="S33" s="57"/>
    </row>
    <row r="34" spans="1:19" x14ac:dyDescent="0.25">
      <c r="A34" s="40"/>
      <c r="B34" s="40"/>
      <c r="C34" s="40"/>
      <c r="D34" s="794"/>
      <c r="E34" s="795"/>
      <c r="F34" s="796"/>
      <c r="G34" s="58"/>
      <c r="H34" s="56"/>
      <c r="I34" s="59"/>
      <c r="J34" s="57"/>
      <c r="K34" s="57"/>
      <c r="L34" s="57"/>
      <c r="M34" s="57"/>
      <c r="N34" s="57"/>
      <c r="O34" s="57"/>
      <c r="P34" s="57"/>
      <c r="Q34" s="57"/>
      <c r="R34" s="57"/>
      <c r="S34" s="57"/>
    </row>
    <row r="35" spans="1:19" ht="15.75" x14ac:dyDescent="0.25">
      <c r="A35" s="119" t="s">
        <v>259</v>
      </c>
      <c r="B35" s="359" t="s">
        <v>261</v>
      </c>
      <c r="D35" s="794" t="s">
        <v>260</v>
      </c>
      <c r="E35" s="795"/>
      <c r="F35" s="796"/>
      <c r="G35" s="58"/>
      <c r="H35" s="63"/>
      <c r="I35" s="57">
        <v>1000</v>
      </c>
      <c r="J35" s="57"/>
      <c r="K35" s="57"/>
      <c r="L35" s="57"/>
      <c r="M35" s="57"/>
      <c r="N35" s="57"/>
      <c r="O35" s="57"/>
      <c r="P35" s="57"/>
      <c r="Q35" s="57"/>
      <c r="R35" s="57"/>
      <c r="S35" s="57"/>
    </row>
    <row r="36" spans="1:19" ht="15.75" x14ac:dyDescent="0.25">
      <c r="A36" s="119" t="s">
        <v>259</v>
      </c>
      <c r="B36" s="359" t="s">
        <v>262</v>
      </c>
      <c r="C36" s="60"/>
      <c r="D36" s="794"/>
      <c r="E36" s="795"/>
      <c r="F36" s="796"/>
      <c r="G36" s="58"/>
      <c r="H36" s="63"/>
      <c r="I36" s="57">
        <f>344/8*3</f>
        <v>129</v>
      </c>
      <c r="J36" s="57">
        <f>I36</f>
        <v>129</v>
      </c>
      <c r="K36" s="57">
        <f>J36</f>
        <v>129</v>
      </c>
      <c r="L36" s="57">
        <f>K36</f>
        <v>129</v>
      </c>
      <c r="M36" s="57">
        <f>L36</f>
        <v>129</v>
      </c>
      <c r="N36" s="57"/>
      <c r="O36" s="57"/>
      <c r="P36" s="57"/>
      <c r="Q36" s="57"/>
      <c r="R36" s="57"/>
      <c r="S36" s="57"/>
    </row>
    <row r="37" spans="1:19" ht="15.75" x14ac:dyDescent="0.25">
      <c r="A37" s="119" t="s">
        <v>259</v>
      </c>
      <c r="B37" s="359" t="s">
        <v>263</v>
      </c>
      <c r="C37" s="60"/>
      <c r="D37" s="794"/>
      <c r="E37" s="795"/>
      <c r="F37" s="796"/>
      <c r="G37" s="58"/>
      <c r="H37" s="63"/>
      <c r="I37" s="57">
        <f>1600/8*3</f>
        <v>600</v>
      </c>
      <c r="J37" s="57">
        <f t="shared" ref="J37:M38" si="23">I37</f>
        <v>600</v>
      </c>
      <c r="K37" s="57">
        <f t="shared" si="23"/>
        <v>600</v>
      </c>
      <c r="L37" s="57">
        <f t="shared" si="23"/>
        <v>600</v>
      </c>
      <c r="M37" s="57">
        <f t="shared" si="23"/>
        <v>600</v>
      </c>
      <c r="N37" s="57"/>
      <c r="O37" s="57"/>
      <c r="P37" s="57"/>
      <c r="Q37" s="57"/>
      <c r="R37" s="57"/>
      <c r="S37" s="57"/>
    </row>
    <row r="38" spans="1:19" ht="15.75" x14ac:dyDescent="0.25">
      <c r="A38" s="119" t="s">
        <v>259</v>
      </c>
      <c r="B38" s="359" t="s">
        <v>264</v>
      </c>
      <c r="C38" s="40"/>
      <c r="D38" s="794"/>
      <c r="E38" s="795"/>
      <c r="F38" s="796"/>
      <c r="G38" s="58"/>
      <c r="H38" s="63"/>
      <c r="I38" s="57">
        <f>80/8*3</f>
        <v>30</v>
      </c>
      <c r="J38" s="57">
        <f t="shared" si="23"/>
        <v>30</v>
      </c>
      <c r="K38" s="57">
        <f t="shared" si="23"/>
        <v>30</v>
      </c>
      <c r="L38" s="57">
        <f t="shared" si="23"/>
        <v>30</v>
      </c>
      <c r="M38" s="57">
        <f t="shared" si="23"/>
        <v>30</v>
      </c>
      <c r="N38" s="57"/>
      <c r="O38" s="57"/>
      <c r="P38" s="57"/>
      <c r="Q38" s="57"/>
      <c r="R38" s="57"/>
      <c r="S38" s="57"/>
    </row>
    <row r="39" spans="1:19" ht="15.75" x14ac:dyDescent="0.25">
      <c r="A39" s="119" t="s">
        <v>259</v>
      </c>
      <c r="B39" s="359" t="s">
        <v>265</v>
      </c>
      <c r="C39" s="40"/>
      <c r="D39" s="794"/>
      <c r="E39" s="795"/>
      <c r="F39" s="796"/>
      <c r="G39" s="68"/>
      <c r="H39" s="69"/>
      <c r="I39" s="70">
        <f>7081/8*3</f>
        <v>2655.375</v>
      </c>
      <c r="J39" s="70">
        <f>I39</f>
        <v>2655.375</v>
      </c>
      <c r="K39" s="70">
        <f>J39</f>
        <v>2655.375</v>
      </c>
      <c r="L39" s="70">
        <f>K39</f>
        <v>2655.375</v>
      </c>
      <c r="M39" s="70">
        <f>L39</f>
        <v>2655.375</v>
      </c>
      <c r="N39" s="70"/>
      <c r="O39" s="70"/>
      <c r="P39" s="70"/>
      <c r="Q39" s="70"/>
      <c r="R39" s="70"/>
      <c r="S39" s="70"/>
    </row>
    <row r="40" spans="1:19" ht="15.75" x14ac:dyDescent="0.25">
      <c r="A40" s="119" t="s">
        <v>259</v>
      </c>
      <c r="B40" s="359" t="s">
        <v>266</v>
      </c>
      <c r="C40" s="66"/>
      <c r="D40" s="794"/>
      <c r="E40" s="795"/>
      <c r="F40" s="796"/>
      <c r="G40" s="72"/>
      <c r="H40" s="74"/>
      <c r="I40" s="75">
        <f>16400/8*3</f>
        <v>6150</v>
      </c>
      <c r="J40" s="75"/>
      <c r="K40" s="75"/>
      <c r="L40" s="75"/>
      <c r="M40" s="75"/>
      <c r="N40" s="75"/>
      <c r="O40" s="75"/>
      <c r="P40" s="75"/>
      <c r="Q40" s="75"/>
      <c r="R40" s="75"/>
      <c r="S40" s="75"/>
    </row>
    <row r="41" spans="1:19" x14ac:dyDescent="0.25">
      <c r="G41" s="108">
        <f>SUM(G29:G40)</f>
        <v>0</v>
      </c>
      <c r="H41" s="109">
        <f t="shared" ref="H41" si="24">SUM(H29:H34)</f>
        <v>0</v>
      </c>
      <c r="I41" s="108">
        <f>SUM(I29:I40)</f>
        <v>25564.375</v>
      </c>
      <c r="J41" s="108">
        <f t="shared" ref="J41:S41" si="25">SUM(J29:J40)</f>
        <v>19164.375</v>
      </c>
      <c r="K41" s="108">
        <f t="shared" si="25"/>
        <v>19164.375</v>
      </c>
      <c r="L41" s="108">
        <f t="shared" si="25"/>
        <v>19414.375</v>
      </c>
      <c r="M41" s="108">
        <f t="shared" si="25"/>
        <v>6914.375</v>
      </c>
      <c r="N41" s="108">
        <f t="shared" si="25"/>
        <v>3500</v>
      </c>
      <c r="O41" s="108">
        <f t="shared" si="25"/>
        <v>3500</v>
      </c>
      <c r="P41" s="108">
        <f t="shared" si="25"/>
        <v>3500</v>
      </c>
      <c r="Q41" s="108">
        <f t="shared" si="25"/>
        <v>3500</v>
      </c>
      <c r="R41" s="108">
        <f t="shared" si="25"/>
        <v>3500</v>
      </c>
      <c r="S41" s="108">
        <f t="shared" si="25"/>
        <v>3500</v>
      </c>
    </row>
  </sheetData>
  <mergeCells count="18">
    <mergeCell ref="D37:F37"/>
    <mergeCell ref="D36:F36"/>
    <mergeCell ref="D39:F39"/>
    <mergeCell ref="D40:F40"/>
    <mergeCell ref="D38:F38"/>
    <mergeCell ref="D28:F28"/>
    <mergeCell ref="C31:F31"/>
    <mergeCell ref="D33:G33"/>
    <mergeCell ref="D35:F35"/>
    <mergeCell ref="D34:F34"/>
    <mergeCell ref="N3:Q3"/>
    <mergeCell ref="R3:S3"/>
    <mergeCell ref="J3:M3"/>
    <mergeCell ref="H3:I3"/>
    <mergeCell ref="J27:M27"/>
    <mergeCell ref="N27:Q27"/>
    <mergeCell ref="R27:S27"/>
    <mergeCell ref="H27:I27"/>
  </mergeCells>
  <pageMargins left="0.7" right="0.7" top="0.75" bottom="0.75" header="0" footer="0"/>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41"/>
  <sheetViews>
    <sheetView showGridLines="0" zoomScale="80" zoomScaleNormal="80" workbookViewId="0">
      <selection activeCell="A3" sqref="A3:XFD25"/>
    </sheetView>
  </sheetViews>
  <sheetFormatPr defaultColWidth="14.42578125" defaultRowHeight="15" customHeight="1" outlineLevelRow="2" x14ac:dyDescent="0.25"/>
  <cols>
    <col min="1" max="1" width="17.42578125" customWidth="1"/>
    <col min="2" max="2" width="29.140625" customWidth="1"/>
    <col min="3" max="3" width="20.85546875" customWidth="1"/>
    <col min="4" max="4" width="20.7109375" customWidth="1"/>
    <col min="5" max="6" width="17.140625" customWidth="1"/>
    <col min="7" max="7" width="17.28515625" customWidth="1"/>
    <col min="8" max="19" width="9.85546875" customWidth="1"/>
    <col min="20" max="20" width="7.85546875" customWidth="1"/>
    <col min="21" max="27" width="15.85546875" customWidth="1"/>
  </cols>
  <sheetData>
    <row r="1" spans="1:20" ht="23.25" x14ac:dyDescent="0.35">
      <c r="A1" s="1" t="s">
        <v>2</v>
      </c>
    </row>
    <row r="2" spans="1:20" x14ac:dyDescent="0.25">
      <c r="I2" s="5"/>
      <c r="J2" s="6"/>
      <c r="K2" s="5"/>
      <c r="L2" s="5"/>
      <c r="M2" s="5"/>
      <c r="N2" s="6"/>
      <c r="O2" s="5"/>
      <c r="P2" s="5"/>
      <c r="Q2" s="5"/>
      <c r="R2" s="6"/>
      <c r="S2" s="5"/>
      <c r="T2" s="5"/>
    </row>
    <row r="3" spans="1:20" ht="18.75" hidden="1" outlineLevel="1" x14ac:dyDescent="0.3">
      <c r="A3" s="7" t="s">
        <v>4</v>
      </c>
      <c r="H3" s="790">
        <v>2019</v>
      </c>
      <c r="I3" s="789"/>
      <c r="J3" s="787">
        <v>2020</v>
      </c>
      <c r="K3" s="788"/>
      <c r="L3" s="788"/>
      <c r="M3" s="789"/>
      <c r="N3" s="787">
        <v>2021</v>
      </c>
      <c r="O3" s="788"/>
      <c r="P3" s="788"/>
      <c r="Q3" s="789"/>
      <c r="R3" s="790">
        <v>2022</v>
      </c>
      <c r="S3" s="789"/>
      <c r="T3" s="5"/>
    </row>
    <row r="4" spans="1:20" hidden="1" outlineLevel="2" x14ac:dyDescent="0.25">
      <c r="A4" s="8"/>
      <c r="B4" s="8"/>
      <c r="C4" s="8"/>
      <c r="D4" s="11"/>
      <c r="E4" s="8"/>
      <c r="F4" s="8"/>
      <c r="G4" s="11"/>
      <c r="H4" s="13">
        <v>43647</v>
      </c>
      <c r="I4" s="13">
        <v>43739</v>
      </c>
      <c r="J4" s="13">
        <v>43831</v>
      </c>
      <c r="K4" s="13">
        <v>43922</v>
      </c>
      <c r="L4" s="13">
        <v>44013</v>
      </c>
      <c r="M4" s="13">
        <v>44105</v>
      </c>
      <c r="N4" s="13">
        <v>44197</v>
      </c>
      <c r="O4" s="13">
        <v>44287</v>
      </c>
      <c r="P4" s="13">
        <v>44378</v>
      </c>
      <c r="Q4" s="13">
        <v>44470</v>
      </c>
      <c r="R4" s="13">
        <v>44562</v>
      </c>
      <c r="S4" s="13">
        <v>44652</v>
      </c>
      <c r="T4" s="5"/>
    </row>
    <row r="5" spans="1:20" ht="30" hidden="1" outlineLevel="1" collapsed="1" x14ac:dyDescent="0.25">
      <c r="A5" s="15" t="s">
        <v>8</v>
      </c>
      <c r="B5" s="15" t="s">
        <v>11</v>
      </c>
      <c r="C5" s="15" t="s">
        <v>12</v>
      </c>
      <c r="D5" s="16" t="s">
        <v>13</v>
      </c>
      <c r="E5" s="17" t="s">
        <v>14</v>
      </c>
      <c r="F5" s="17" t="s">
        <v>15</v>
      </c>
      <c r="G5" s="16" t="s">
        <v>16</v>
      </c>
      <c r="H5" s="19" t="s">
        <v>10</v>
      </c>
      <c r="I5" s="21" t="s">
        <v>17</v>
      </c>
      <c r="J5" s="23" t="s">
        <v>18</v>
      </c>
      <c r="K5" s="25" t="s">
        <v>19</v>
      </c>
      <c r="L5" s="25" t="s">
        <v>10</v>
      </c>
      <c r="M5" s="21" t="s">
        <v>17</v>
      </c>
      <c r="N5" s="23" t="s">
        <v>18</v>
      </c>
      <c r="O5" s="25" t="s">
        <v>19</v>
      </c>
      <c r="P5" s="25" t="s">
        <v>10</v>
      </c>
      <c r="Q5" s="21" t="s">
        <v>17</v>
      </c>
      <c r="R5" s="23" t="s">
        <v>18</v>
      </c>
      <c r="S5" s="25" t="s">
        <v>19</v>
      </c>
      <c r="T5" s="5"/>
    </row>
    <row r="6" spans="1:20" hidden="1" outlineLevel="1" x14ac:dyDescent="0.25">
      <c r="A6" s="27"/>
      <c r="B6" s="27"/>
      <c r="C6" s="30"/>
      <c r="D6" s="27"/>
      <c r="E6" s="37"/>
      <c r="F6" s="27"/>
      <c r="G6" s="39"/>
      <c r="H6" s="31">
        <f t="shared" ref="H6:R6" si="0">IF($E6&lt;I$4,($G6*1.3)/4,0)</f>
        <v>0</v>
      </c>
      <c r="I6" s="33">
        <f t="shared" si="0"/>
        <v>0</v>
      </c>
      <c r="J6" s="33">
        <f t="shared" si="0"/>
        <v>0</v>
      </c>
      <c r="K6" s="33">
        <f t="shared" si="0"/>
        <v>0</v>
      </c>
      <c r="L6" s="33">
        <f t="shared" si="0"/>
        <v>0</v>
      </c>
      <c r="M6" s="33">
        <f t="shared" si="0"/>
        <v>0</v>
      </c>
      <c r="N6" s="33">
        <f t="shared" si="0"/>
        <v>0</v>
      </c>
      <c r="O6" s="33">
        <f t="shared" si="0"/>
        <v>0</v>
      </c>
      <c r="P6" s="33">
        <f t="shared" si="0"/>
        <v>0</v>
      </c>
      <c r="Q6" s="33">
        <f t="shared" si="0"/>
        <v>0</v>
      </c>
      <c r="R6" s="33">
        <f t="shared" si="0"/>
        <v>0</v>
      </c>
      <c r="S6" s="33">
        <f t="shared" ref="S6:S24" si="1">IF($E6&lt;S$4,($G6*1.3)/4,0)</f>
        <v>0</v>
      </c>
      <c r="T6" s="5"/>
    </row>
    <row r="7" spans="1:20" hidden="1" outlineLevel="1" x14ac:dyDescent="0.25">
      <c r="A7" s="40"/>
      <c r="B7" s="40"/>
      <c r="C7" s="35"/>
      <c r="D7" s="40"/>
      <c r="E7" s="42"/>
      <c r="F7" s="43"/>
      <c r="G7" s="44"/>
      <c r="H7" s="31">
        <f t="shared" ref="H7:R7" si="2">IF($E7&lt;I$4,($G7*1.3)/4,0)</f>
        <v>0</v>
      </c>
      <c r="I7" s="33">
        <f t="shared" si="2"/>
        <v>0</v>
      </c>
      <c r="J7" s="33">
        <f t="shared" si="2"/>
        <v>0</v>
      </c>
      <c r="K7" s="33">
        <f t="shared" si="2"/>
        <v>0</v>
      </c>
      <c r="L7" s="33">
        <f t="shared" si="2"/>
        <v>0</v>
      </c>
      <c r="M7" s="33">
        <f t="shared" si="2"/>
        <v>0</v>
      </c>
      <c r="N7" s="33">
        <f t="shared" si="2"/>
        <v>0</v>
      </c>
      <c r="O7" s="33">
        <f t="shared" si="2"/>
        <v>0</v>
      </c>
      <c r="P7" s="33">
        <f t="shared" si="2"/>
        <v>0</v>
      </c>
      <c r="Q7" s="33">
        <f t="shared" si="2"/>
        <v>0</v>
      </c>
      <c r="R7" s="33">
        <f t="shared" si="2"/>
        <v>0</v>
      </c>
      <c r="S7" s="33">
        <f t="shared" si="1"/>
        <v>0</v>
      </c>
      <c r="T7" s="5"/>
    </row>
    <row r="8" spans="1:20" hidden="1" outlineLevel="1" x14ac:dyDescent="0.25">
      <c r="A8" s="40"/>
      <c r="B8" s="40"/>
      <c r="C8" s="35"/>
      <c r="D8" s="40"/>
      <c r="E8" s="42"/>
      <c r="F8" s="43"/>
      <c r="G8" s="44"/>
      <c r="H8" s="31">
        <f t="shared" ref="H8:R8" si="3">IF($E8&lt;I$4,($G8*1.3)/4,0)</f>
        <v>0</v>
      </c>
      <c r="I8" s="33">
        <f t="shared" si="3"/>
        <v>0</v>
      </c>
      <c r="J8" s="33">
        <f t="shared" si="3"/>
        <v>0</v>
      </c>
      <c r="K8" s="33">
        <f t="shared" si="3"/>
        <v>0</v>
      </c>
      <c r="L8" s="33">
        <f t="shared" si="3"/>
        <v>0</v>
      </c>
      <c r="M8" s="33">
        <f t="shared" si="3"/>
        <v>0</v>
      </c>
      <c r="N8" s="33">
        <f t="shared" si="3"/>
        <v>0</v>
      </c>
      <c r="O8" s="33">
        <f t="shared" si="3"/>
        <v>0</v>
      </c>
      <c r="P8" s="33">
        <f t="shared" si="3"/>
        <v>0</v>
      </c>
      <c r="Q8" s="33">
        <f t="shared" si="3"/>
        <v>0</v>
      </c>
      <c r="R8" s="33">
        <f t="shared" si="3"/>
        <v>0</v>
      </c>
      <c r="S8" s="33">
        <f t="shared" si="1"/>
        <v>0</v>
      </c>
      <c r="T8" s="5"/>
    </row>
    <row r="9" spans="1:20" hidden="1" outlineLevel="1" x14ac:dyDescent="0.25">
      <c r="A9" s="40"/>
      <c r="B9" s="40"/>
      <c r="C9" s="35"/>
      <c r="D9" s="40"/>
      <c r="E9" s="42"/>
      <c r="F9" s="43"/>
      <c r="G9" s="44"/>
      <c r="H9" s="31">
        <f t="shared" ref="H9:R9" si="4">IF($E9&lt;I$4,($G9*1.3)/4,0)</f>
        <v>0</v>
      </c>
      <c r="I9" s="33">
        <f t="shared" si="4"/>
        <v>0</v>
      </c>
      <c r="J9" s="33">
        <f t="shared" si="4"/>
        <v>0</v>
      </c>
      <c r="K9" s="33">
        <f t="shared" si="4"/>
        <v>0</v>
      </c>
      <c r="L9" s="33">
        <f t="shared" si="4"/>
        <v>0</v>
      </c>
      <c r="M9" s="33">
        <f t="shared" si="4"/>
        <v>0</v>
      </c>
      <c r="N9" s="33">
        <f t="shared" si="4"/>
        <v>0</v>
      </c>
      <c r="O9" s="33">
        <f t="shared" si="4"/>
        <v>0</v>
      </c>
      <c r="P9" s="33">
        <f t="shared" si="4"/>
        <v>0</v>
      </c>
      <c r="Q9" s="33">
        <f t="shared" si="4"/>
        <v>0</v>
      </c>
      <c r="R9" s="33">
        <f t="shared" si="4"/>
        <v>0</v>
      </c>
      <c r="S9" s="33">
        <f t="shared" si="1"/>
        <v>0</v>
      </c>
      <c r="T9" s="5"/>
    </row>
    <row r="10" spans="1:20" hidden="1" outlineLevel="1" x14ac:dyDescent="0.25">
      <c r="A10" s="40"/>
      <c r="B10" s="40"/>
      <c r="C10" s="35"/>
      <c r="D10" s="40"/>
      <c r="E10" s="42"/>
      <c r="F10" s="43"/>
      <c r="G10" s="44"/>
      <c r="H10" s="31">
        <f t="shared" ref="H10:R10" si="5">IF($E10&lt;I$4,($G10*1.3)/4,0)</f>
        <v>0</v>
      </c>
      <c r="I10" s="33">
        <f t="shared" si="5"/>
        <v>0</v>
      </c>
      <c r="J10" s="33">
        <f t="shared" si="5"/>
        <v>0</v>
      </c>
      <c r="K10" s="33">
        <f t="shared" si="5"/>
        <v>0</v>
      </c>
      <c r="L10" s="33">
        <f t="shared" si="5"/>
        <v>0</v>
      </c>
      <c r="M10" s="33">
        <f t="shared" si="5"/>
        <v>0</v>
      </c>
      <c r="N10" s="33">
        <f t="shared" si="5"/>
        <v>0</v>
      </c>
      <c r="O10" s="33">
        <f t="shared" si="5"/>
        <v>0</v>
      </c>
      <c r="P10" s="33">
        <f t="shared" si="5"/>
        <v>0</v>
      </c>
      <c r="Q10" s="33">
        <f t="shared" si="5"/>
        <v>0</v>
      </c>
      <c r="R10" s="33">
        <f t="shared" si="5"/>
        <v>0</v>
      </c>
      <c r="S10" s="33">
        <f t="shared" si="1"/>
        <v>0</v>
      </c>
      <c r="T10" s="5"/>
    </row>
    <row r="11" spans="1:20" hidden="1" outlineLevel="1" x14ac:dyDescent="0.25">
      <c r="A11" s="40"/>
      <c r="B11" s="40"/>
      <c r="C11" s="35"/>
      <c r="D11" s="40"/>
      <c r="E11" s="42"/>
      <c r="F11" s="43"/>
      <c r="G11" s="44"/>
      <c r="H11" s="31">
        <f t="shared" ref="H11:R11" si="6">IF($E11&lt;I$4,($G11*1.3)/4,0)</f>
        <v>0</v>
      </c>
      <c r="I11" s="33">
        <f t="shared" si="6"/>
        <v>0</v>
      </c>
      <c r="J11" s="33">
        <f t="shared" si="6"/>
        <v>0</v>
      </c>
      <c r="K11" s="33">
        <f t="shared" si="6"/>
        <v>0</v>
      </c>
      <c r="L11" s="33">
        <f t="shared" si="6"/>
        <v>0</v>
      </c>
      <c r="M11" s="33">
        <f t="shared" si="6"/>
        <v>0</v>
      </c>
      <c r="N11" s="33">
        <f t="shared" si="6"/>
        <v>0</v>
      </c>
      <c r="O11" s="33">
        <f t="shared" si="6"/>
        <v>0</v>
      </c>
      <c r="P11" s="33">
        <f t="shared" si="6"/>
        <v>0</v>
      </c>
      <c r="Q11" s="33">
        <f t="shared" si="6"/>
        <v>0</v>
      </c>
      <c r="R11" s="33">
        <f t="shared" si="6"/>
        <v>0</v>
      </c>
      <c r="S11" s="33">
        <f t="shared" si="1"/>
        <v>0</v>
      </c>
      <c r="T11" s="5"/>
    </row>
    <row r="12" spans="1:20" hidden="1" outlineLevel="1" x14ac:dyDescent="0.25">
      <c r="A12" s="40"/>
      <c r="B12" s="40"/>
      <c r="C12" s="35"/>
      <c r="D12" s="40"/>
      <c r="E12" s="42"/>
      <c r="F12" s="43"/>
      <c r="G12" s="44"/>
      <c r="H12" s="31">
        <f t="shared" ref="H12:R12" si="7">IF($E12&lt;I$4,($G12*1.3)/4,0)</f>
        <v>0</v>
      </c>
      <c r="I12" s="33">
        <f t="shared" si="7"/>
        <v>0</v>
      </c>
      <c r="J12" s="33">
        <f t="shared" si="7"/>
        <v>0</v>
      </c>
      <c r="K12" s="33">
        <f t="shared" si="7"/>
        <v>0</v>
      </c>
      <c r="L12" s="33">
        <f t="shared" si="7"/>
        <v>0</v>
      </c>
      <c r="M12" s="33">
        <f t="shared" si="7"/>
        <v>0</v>
      </c>
      <c r="N12" s="33">
        <f t="shared" si="7"/>
        <v>0</v>
      </c>
      <c r="O12" s="33">
        <f t="shared" si="7"/>
        <v>0</v>
      </c>
      <c r="P12" s="33">
        <f t="shared" si="7"/>
        <v>0</v>
      </c>
      <c r="Q12" s="33">
        <f t="shared" si="7"/>
        <v>0</v>
      </c>
      <c r="R12" s="33">
        <f t="shared" si="7"/>
        <v>0</v>
      </c>
      <c r="S12" s="33">
        <f t="shared" si="1"/>
        <v>0</v>
      </c>
      <c r="T12" s="5"/>
    </row>
    <row r="13" spans="1:20" hidden="1" outlineLevel="1" x14ac:dyDescent="0.25">
      <c r="A13" s="40"/>
      <c r="B13" s="40"/>
      <c r="C13" s="35"/>
      <c r="D13" s="40"/>
      <c r="E13" s="42"/>
      <c r="F13" s="43"/>
      <c r="G13" s="44"/>
      <c r="H13" s="31">
        <f t="shared" ref="H13:R13" si="8">IF($E13&lt;I$4,($G13*1.3)/4,0)</f>
        <v>0</v>
      </c>
      <c r="I13" s="33">
        <f t="shared" si="8"/>
        <v>0</v>
      </c>
      <c r="J13" s="33">
        <f t="shared" si="8"/>
        <v>0</v>
      </c>
      <c r="K13" s="33">
        <f t="shared" si="8"/>
        <v>0</v>
      </c>
      <c r="L13" s="33">
        <f t="shared" si="8"/>
        <v>0</v>
      </c>
      <c r="M13" s="33">
        <f t="shared" si="8"/>
        <v>0</v>
      </c>
      <c r="N13" s="33">
        <f t="shared" si="8"/>
        <v>0</v>
      </c>
      <c r="O13" s="33">
        <f t="shared" si="8"/>
        <v>0</v>
      </c>
      <c r="P13" s="33">
        <f t="shared" si="8"/>
        <v>0</v>
      </c>
      <c r="Q13" s="33">
        <f t="shared" si="8"/>
        <v>0</v>
      </c>
      <c r="R13" s="33">
        <f t="shared" si="8"/>
        <v>0</v>
      </c>
      <c r="S13" s="33">
        <f t="shared" si="1"/>
        <v>0</v>
      </c>
      <c r="T13" s="5"/>
    </row>
    <row r="14" spans="1:20" hidden="1" outlineLevel="1" x14ac:dyDescent="0.25">
      <c r="A14" s="40"/>
      <c r="B14" s="40"/>
      <c r="C14" s="35"/>
      <c r="D14" s="40"/>
      <c r="E14" s="42"/>
      <c r="F14" s="43"/>
      <c r="G14" s="44"/>
      <c r="H14" s="31">
        <f t="shared" ref="H14:R14" si="9">IF($E14&lt;I$4,($G14*1.3)/4,0)</f>
        <v>0</v>
      </c>
      <c r="I14" s="33">
        <f t="shared" si="9"/>
        <v>0</v>
      </c>
      <c r="J14" s="33">
        <f t="shared" si="9"/>
        <v>0</v>
      </c>
      <c r="K14" s="33">
        <f t="shared" si="9"/>
        <v>0</v>
      </c>
      <c r="L14" s="33">
        <f t="shared" si="9"/>
        <v>0</v>
      </c>
      <c r="M14" s="33">
        <f t="shared" si="9"/>
        <v>0</v>
      </c>
      <c r="N14" s="33">
        <f t="shared" si="9"/>
        <v>0</v>
      </c>
      <c r="O14" s="33">
        <f t="shared" si="9"/>
        <v>0</v>
      </c>
      <c r="P14" s="33">
        <f t="shared" si="9"/>
        <v>0</v>
      </c>
      <c r="Q14" s="33">
        <f t="shared" si="9"/>
        <v>0</v>
      </c>
      <c r="R14" s="33">
        <f t="shared" si="9"/>
        <v>0</v>
      </c>
      <c r="S14" s="33">
        <f t="shared" si="1"/>
        <v>0</v>
      </c>
      <c r="T14" s="5"/>
    </row>
    <row r="15" spans="1:20" hidden="1" outlineLevel="1" x14ac:dyDescent="0.25">
      <c r="A15" s="40"/>
      <c r="B15" s="40"/>
      <c r="C15" s="35"/>
      <c r="D15" s="40"/>
      <c r="E15" s="42"/>
      <c r="F15" s="43"/>
      <c r="G15" s="44"/>
      <c r="H15" s="31">
        <f t="shared" ref="H15:R15" si="10">IF($E15&lt;I$4,($G15*1.3)/4,0)</f>
        <v>0</v>
      </c>
      <c r="I15" s="33">
        <f t="shared" si="10"/>
        <v>0</v>
      </c>
      <c r="J15" s="33">
        <f t="shared" si="10"/>
        <v>0</v>
      </c>
      <c r="K15" s="33">
        <f t="shared" si="10"/>
        <v>0</v>
      </c>
      <c r="L15" s="33">
        <f t="shared" si="10"/>
        <v>0</v>
      </c>
      <c r="M15" s="33">
        <f t="shared" si="10"/>
        <v>0</v>
      </c>
      <c r="N15" s="33">
        <f t="shared" si="10"/>
        <v>0</v>
      </c>
      <c r="O15" s="33">
        <f t="shared" si="10"/>
        <v>0</v>
      </c>
      <c r="P15" s="33">
        <f t="shared" si="10"/>
        <v>0</v>
      </c>
      <c r="Q15" s="33">
        <f t="shared" si="10"/>
        <v>0</v>
      </c>
      <c r="R15" s="33">
        <f t="shared" si="10"/>
        <v>0</v>
      </c>
      <c r="S15" s="33">
        <f t="shared" si="1"/>
        <v>0</v>
      </c>
      <c r="T15" s="5"/>
    </row>
    <row r="16" spans="1:20" hidden="1" outlineLevel="1" x14ac:dyDescent="0.25">
      <c r="A16" s="40"/>
      <c r="B16" s="40"/>
      <c r="C16" s="35"/>
      <c r="D16" s="40"/>
      <c r="E16" s="42"/>
      <c r="F16" s="43"/>
      <c r="G16" s="44"/>
      <c r="H16" s="31">
        <f t="shared" ref="H16:R16" si="11">IF($E16&lt;I$4,($G16*1.3)/4,0)</f>
        <v>0</v>
      </c>
      <c r="I16" s="33">
        <f t="shared" si="11"/>
        <v>0</v>
      </c>
      <c r="J16" s="33">
        <f t="shared" si="11"/>
        <v>0</v>
      </c>
      <c r="K16" s="33">
        <f t="shared" si="11"/>
        <v>0</v>
      </c>
      <c r="L16" s="33">
        <f t="shared" si="11"/>
        <v>0</v>
      </c>
      <c r="M16" s="33">
        <f t="shared" si="11"/>
        <v>0</v>
      </c>
      <c r="N16" s="33">
        <f t="shared" si="11"/>
        <v>0</v>
      </c>
      <c r="O16" s="33">
        <f t="shared" si="11"/>
        <v>0</v>
      </c>
      <c r="P16" s="33">
        <f t="shared" si="11"/>
        <v>0</v>
      </c>
      <c r="Q16" s="33">
        <f t="shared" si="11"/>
        <v>0</v>
      </c>
      <c r="R16" s="33">
        <f t="shared" si="11"/>
        <v>0</v>
      </c>
      <c r="S16" s="33">
        <f t="shared" si="1"/>
        <v>0</v>
      </c>
      <c r="T16" s="5"/>
    </row>
    <row r="17" spans="1:20" hidden="1" outlineLevel="1" x14ac:dyDescent="0.25">
      <c r="A17" s="40"/>
      <c r="B17" s="40"/>
      <c r="C17" s="35"/>
      <c r="D17" s="40"/>
      <c r="E17" s="40"/>
      <c r="F17" s="43"/>
      <c r="G17" s="44"/>
      <c r="H17" s="31">
        <f t="shared" ref="H17:R17" si="12">IF($E17&lt;I$4,($G17*1.3)/4,0)</f>
        <v>0</v>
      </c>
      <c r="I17" s="33">
        <f t="shared" si="12"/>
        <v>0</v>
      </c>
      <c r="J17" s="33">
        <f t="shared" si="12"/>
        <v>0</v>
      </c>
      <c r="K17" s="33">
        <f t="shared" si="12"/>
        <v>0</v>
      </c>
      <c r="L17" s="33">
        <f t="shared" si="12"/>
        <v>0</v>
      </c>
      <c r="M17" s="33">
        <f t="shared" si="12"/>
        <v>0</v>
      </c>
      <c r="N17" s="33">
        <f t="shared" si="12"/>
        <v>0</v>
      </c>
      <c r="O17" s="33">
        <f t="shared" si="12"/>
        <v>0</v>
      </c>
      <c r="P17" s="33">
        <f t="shared" si="12"/>
        <v>0</v>
      </c>
      <c r="Q17" s="33">
        <f t="shared" si="12"/>
        <v>0</v>
      </c>
      <c r="R17" s="33">
        <f t="shared" si="12"/>
        <v>0</v>
      </c>
      <c r="S17" s="33">
        <f t="shared" si="1"/>
        <v>0</v>
      </c>
      <c r="T17" s="5"/>
    </row>
    <row r="18" spans="1:20" hidden="1" outlineLevel="1" x14ac:dyDescent="0.25">
      <c r="A18" s="40"/>
      <c r="B18" s="40"/>
      <c r="C18" s="35"/>
      <c r="D18" s="40"/>
      <c r="E18" s="40"/>
      <c r="F18" s="43"/>
      <c r="G18" s="44"/>
      <c r="H18" s="31">
        <f t="shared" ref="H18:R18" si="13">IF($E18&lt;I$4,($G18*1.3)/4,0)</f>
        <v>0</v>
      </c>
      <c r="I18" s="33">
        <f t="shared" si="13"/>
        <v>0</v>
      </c>
      <c r="J18" s="33">
        <f t="shared" si="13"/>
        <v>0</v>
      </c>
      <c r="K18" s="33">
        <f t="shared" si="13"/>
        <v>0</v>
      </c>
      <c r="L18" s="33">
        <f t="shared" si="13"/>
        <v>0</v>
      </c>
      <c r="M18" s="33">
        <f t="shared" si="13"/>
        <v>0</v>
      </c>
      <c r="N18" s="33">
        <f t="shared" si="13"/>
        <v>0</v>
      </c>
      <c r="O18" s="33">
        <f t="shared" si="13"/>
        <v>0</v>
      </c>
      <c r="P18" s="33">
        <f t="shared" si="13"/>
        <v>0</v>
      </c>
      <c r="Q18" s="33">
        <f t="shared" si="13"/>
        <v>0</v>
      </c>
      <c r="R18" s="33">
        <f t="shared" si="13"/>
        <v>0</v>
      </c>
      <c r="S18" s="33">
        <f t="shared" si="1"/>
        <v>0</v>
      </c>
      <c r="T18" s="5"/>
    </row>
    <row r="19" spans="1:20" hidden="1" outlineLevel="1" x14ac:dyDescent="0.25">
      <c r="A19" s="40"/>
      <c r="B19" s="40"/>
      <c r="C19" s="35"/>
      <c r="D19" s="40"/>
      <c r="E19" s="40"/>
      <c r="F19" s="43"/>
      <c r="G19" s="44"/>
      <c r="H19" s="31">
        <f t="shared" ref="H19:R19" si="14">IF($E19&lt;I$4,($G19*1.3)/4,0)</f>
        <v>0</v>
      </c>
      <c r="I19" s="33">
        <f t="shared" si="14"/>
        <v>0</v>
      </c>
      <c r="J19" s="33">
        <f t="shared" si="14"/>
        <v>0</v>
      </c>
      <c r="K19" s="33">
        <f t="shared" si="14"/>
        <v>0</v>
      </c>
      <c r="L19" s="33">
        <f t="shared" si="14"/>
        <v>0</v>
      </c>
      <c r="M19" s="33">
        <f t="shared" si="14"/>
        <v>0</v>
      </c>
      <c r="N19" s="33">
        <f t="shared" si="14"/>
        <v>0</v>
      </c>
      <c r="O19" s="33">
        <f t="shared" si="14"/>
        <v>0</v>
      </c>
      <c r="P19" s="33">
        <f t="shared" si="14"/>
        <v>0</v>
      </c>
      <c r="Q19" s="33">
        <f t="shared" si="14"/>
        <v>0</v>
      </c>
      <c r="R19" s="33">
        <f t="shared" si="14"/>
        <v>0</v>
      </c>
      <c r="S19" s="33">
        <f t="shared" si="1"/>
        <v>0</v>
      </c>
      <c r="T19" s="5"/>
    </row>
    <row r="20" spans="1:20" hidden="1" outlineLevel="1" x14ac:dyDescent="0.25">
      <c r="A20" s="40"/>
      <c r="B20" s="40"/>
      <c r="C20" s="35"/>
      <c r="D20" s="40"/>
      <c r="E20" s="43"/>
      <c r="F20" s="43"/>
      <c r="G20" s="44"/>
      <c r="H20" s="31">
        <f t="shared" ref="H20:R20" si="15">IF($E20&lt;I$4,($G20*1.3)/4,0)</f>
        <v>0</v>
      </c>
      <c r="I20" s="33">
        <f t="shared" si="15"/>
        <v>0</v>
      </c>
      <c r="J20" s="33">
        <f t="shared" si="15"/>
        <v>0</v>
      </c>
      <c r="K20" s="33">
        <f t="shared" si="15"/>
        <v>0</v>
      </c>
      <c r="L20" s="33">
        <f t="shared" si="15"/>
        <v>0</v>
      </c>
      <c r="M20" s="33">
        <f t="shared" si="15"/>
        <v>0</v>
      </c>
      <c r="N20" s="33">
        <f t="shared" si="15"/>
        <v>0</v>
      </c>
      <c r="O20" s="33">
        <f t="shared" si="15"/>
        <v>0</v>
      </c>
      <c r="P20" s="33">
        <f t="shared" si="15"/>
        <v>0</v>
      </c>
      <c r="Q20" s="33">
        <f t="shared" si="15"/>
        <v>0</v>
      </c>
      <c r="R20" s="33">
        <f t="shared" si="15"/>
        <v>0</v>
      </c>
      <c r="S20" s="33">
        <f t="shared" si="1"/>
        <v>0</v>
      </c>
      <c r="T20" s="5"/>
    </row>
    <row r="21" spans="1:20" hidden="1" outlineLevel="1" x14ac:dyDescent="0.25">
      <c r="A21" s="40"/>
      <c r="B21" s="40"/>
      <c r="C21" s="35"/>
      <c r="D21" s="40"/>
      <c r="E21" s="43"/>
      <c r="F21" s="43"/>
      <c r="G21" s="44"/>
      <c r="H21" s="31">
        <f t="shared" ref="H21:R21" si="16">IF($E21&lt;I$4,($G21*1.3)/4,0)</f>
        <v>0</v>
      </c>
      <c r="I21" s="33">
        <f t="shared" si="16"/>
        <v>0</v>
      </c>
      <c r="J21" s="33">
        <f t="shared" si="16"/>
        <v>0</v>
      </c>
      <c r="K21" s="33">
        <f t="shared" si="16"/>
        <v>0</v>
      </c>
      <c r="L21" s="33">
        <f t="shared" si="16"/>
        <v>0</v>
      </c>
      <c r="M21" s="33">
        <f t="shared" si="16"/>
        <v>0</v>
      </c>
      <c r="N21" s="33">
        <f t="shared" si="16"/>
        <v>0</v>
      </c>
      <c r="O21" s="33">
        <f t="shared" si="16"/>
        <v>0</v>
      </c>
      <c r="P21" s="33">
        <f t="shared" si="16"/>
        <v>0</v>
      </c>
      <c r="Q21" s="33">
        <f t="shared" si="16"/>
        <v>0</v>
      </c>
      <c r="R21" s="33">
        <f t="shared" si="16"/>
        <v>0</v>
      </c>
      <c r="S21" s="33">
        <f t="shared" si="1"/>
        <v>0</v>
      </c>
      <c r="T21" s="5"/>
    </row>
    <row r="22" spans="1:20" hidden="1" outlineLevel="1" x14ac:dyDescent="0.25">
      <c r="A22" s="66"/>
      <c r="B22" s="66"/>
      <c r="C22" s="76"/>
      <c r="D22" s="77"/>
      <c r="E22" s="66"/>
      <c r="F22" s="66"/>
      <c r="G22" s="79"/>
      <c r="H22" s="31">
        <f t="shared" ref="H22:R22" si="17">IF($E22&lt;I$4,($G22*1.3)/4,0)</f>
        <v>0</v>
      </c>
      <c r="I22" s="33">
        <f t="shared" si="17"/>
        <v>0</v>
      </c>
      <c r="J22" s="33">
        <f t="shared" si="17"/>
        <v>0</v>
      </c>
      <c r="K22" s="33">
        <f t="shared" si="17"/>
        <v>0</v>
      </c>
      <c r="L22" s="33">
        <f t="shared" si="17"/>
        <v>0</v>
      </c>
      <c r="M22" s="33">
        <f t="shared" si="17"/>
        <v>0</v>
      </c>
      <c r="N22" s="33">
        <f t="shared" si="17"/>
        <v>0</v>
      </c>
      <c r="O22" s="33">
        <f t="shared" si="17"/>
        <v>0</v>
      </c>
      <c r="P22" s="33">
        <f t="shared" si="17"/>
        <v>0</v>
      </c>
      <c r="Q22" s="33">
        <f t="shared" si="17"/>
        <v>0</v>
      </c>
      <c r="R22" s="33">
        <f t="shared" si="17"/>
        <v>0</v>
      </c>
      <c r="S22" s="33">
        <f t="shared" si="1"/>
        <v>0</v>
      </c>
      <c r="T22" s="5"/>
    </row>
    <row r="23" spans="1:20" hidden="1" outlineLevel="1" x14ac:dyDescent="0.25">
      <c r="A23" s="66"/>
      <c r="B23" s="66"/>
      <c r="C23" s="76"/>
      <c r="D23" s="77"/>
      <c r="E23" s="66"/>
      <c r="F23" s="66"/>
      <c r="G23" s="79"/>
      <c r="H23" s="31">
        <f t="shared" ref="H23:R23" si="18">IF($E23&lt;I$4,($G23*1.3)/4,0)</f>
        <v>0</v>
      </c>
      <c r="I23" s="33">
        <f t="shared" si="18"/>
        <v>0</v>
      </c>
      <c r="J23" s="33">
        <f t="shared" si="18"/>
        <v>0</v>
      </c>
      <c r="K23" s="33">
        <f t="shared" si="18"/>
        <v>0</v>
      </c>
      <c r="L23" s="33">
        <f t="shared" si="18"/>
        <v>0</v>
      </c>
      <c r="M23" s="33">
        <f t="shared" si="18"/>
        <v>0</v>
      </c>
      <c r="N23" s="33">
        <f t="shared" si="18"/>
        <v>0</v>
      </c>
      <c r="O23" s="33">
        <f t="shared" si="18"/>
        <v>0</v>
      </c>
      <c r="P23" s="33">
        <f t="shared" si="18"/>
        <v>0</v>
      </c>
      <c r="Q23" s="33">
        <f t="shared" si="18"/>
        <v>0</v>
      </c>
      <c r="R23" s="33">
        <f t="shared" si="18"/>
        <v>0</v>
      </c>
      <c r="S23" s="33">
        <f t="shared" si="1"/>
        <v>0</v>
      </c>
      <c r="T23" s="5"/>
    </row>
    <row r="24" spans="1:20" hidden="1" outlineLevel="1" x14ac:dyDescent="0.25">
      <c r="A24" s="66"/>
      <c r="B24" s="66"/>
      <c r="C24" s="76"/>
      <c r="D24" s="77"/>
      <c r="E24" s="66"/>
      <c r="F24" s="66"/>
      <c r="G24" s="79"/>
      <c r="H24" s="31">
        <f t="shared" ref="H24:R24" si="19">IF($E24&lt;I$4,($G24*1.3)/4,0)</f>
        <v>0</v>
      </c>
      <c r="I24" s="33">
        <f t="shared" si="19"/>
        <v>0</v>
      </c>
      <c r="J24" s="33">
        <f t="shared" si="19"/>
        <v>0</v>
      </c>
      <c r="K24" s="33">
        <f t="shared" si="19"/>
        <v>0</v>
      </c>
      <c r="L24" s="33">
        <f t="shared" si="19"/>
        <v>0</v>
      </c>
      <c r="M24" s="33">
        <f t="shared" si="19"/>
        <v>0</v>
      </c>
      <c r="N24" s="33">
        <f t="shared" si="19"/>
        <v>0</v>
      </c>
      <c r="O24" s="33">
        <f t="shared" si="19"/>
        <v>0</v>
      </c>
      <c r="P24" s="33">
        <f t="shared" si="19"/>
        <v>0</v>
      </c>
      <c r="Q24" s="33">
        <f t="shared" si="19"/>
        <v>0</v>
      </c>
      <c r="R24" s="33">
        <f t="shared" si="19"/>
        <v>0</v>
      </c>
      <c r="S24" s="33">
        <f t="shared" si="1"/>
        <v>0</v>
      </c>
      <c r="T24" s="5"/>
    </row>
    <row r="25" spans="1:20" hidden="1" outlineLevel="1" x14ac:dyDescent="0.25">
      <c r="A25" s="50"/>
      <c r="B25" s="50"/>
      <c r="C25" s="50"/>
      <c r="D25" s="50"/>
      <c r="E25" s="50"/>
      <c r="F25" s="50"/>
      <c r="G25" s="50"/>
      <c r="H25" s="81">
        <f t="shared" ref="H25:S25" si="20">SUM(H6:H24)</f>
        <v>0</v>
      </c>
      <c r="I25" s="82">
        <f t="shared" si="20"/>
        <v>0</v>
      </c>
      <c r="J25" s="82">
        <f t="shared" si="20"/>
        <v>0</v>
      </c>
      <c r="K25" s="82">
        <f t="shared" si="20"/>
        <v>0</v>
      </c>
      <c r="L25" s="82">
        <f t="shared" si="20"/>
        <v>0</v>
      </c>
      <c r="M25" s="82">
        <f t="shared" si="20"/>
        <v>0</v>
      </c>
      <c r="N25" s="82">
        <f t="shared" si="20"/>
        <v>0</v>
      </c>
      <c r="O25" s="82">
        <f t="shared" si="20"/>
        <v>0</v>
      </c>
      <c r="P25" s="82">
        <f t="shared" si="20"/>
        <v>0</v>
      </c>
      <c r="Q25" s="82">
        <f t="shared" si="20"/>
        <v>0</v>
      </c>
      <c r="R25" s="82">
        <f t="shared" si="20"/>
        <v>0</v>
      </c>
      <c r="S25" s="82">
        <f t="shared" si="20"/>
        <v>0</v>
      </c>
      <c r="T25" s="5"/>
    </row>
    <row r="26" spans="1:20" collapsed="1" x14ac:dyDescent="0.25">
      <c r="B26" s="5"/>
      <c r="C26" s="5"/>
      <c r="D26" s="5"/>
      <c r="E26" s="5"/>
      <c r="F26" s="5"/>
      <c r="G26" s="5"/>
      <c r="H26" s="5"/>
      <c r="I26" s="5"/>
      <c r="J26" s="5"/>
      <c r="K26" s="5"/>
      <c r="L26" s="5"/>
      <c r="M26" s="5"/>
      <c r="N26" s="5"/>
      <c r="O26" s="5"/>
      <c r="P26" s="5"/>
      <c r="Q26" s="5"/>
      <c r="R26" s="5"/>
      <c r="S26" s="5"/>
    </row>
    <row r="27" spans="1:20" ht="18.75" x14ac:dyDescent="0.3">
      <c r="A27" s="7" t="s">
        <v>67</v>
      </c>
      <c r="B27" s="5"/>
      <c r="C27" s="5"/>
      <c r="D27" s="5"/>
      <c r="E27" s="5"/>
      <c r="F27" s="5"/>
      <c r="G27" s="5"/>
      <c r="H27" s="790">
        <v>2019</v>
      </c>
      <c r="I27" s="789"/>
      <c r="J27" s="787">
        <v>2020</v>
      </c>
      <c r="K27" s="788"/>
      <c r="L27" s="788"/>
      <c r="M27" s="789"/>
      <c r="N27" s="787">
        <v>2021</v>
      </c>
      <c r="O27" s="788"/>
      <c r="P27" s="788"/>
      <c r="Q27" s="789"/>
      <c r="R27" s="790">
        <v>2022</v>
      </c>
      <c r="S27" s="789"/>
    </row>
    <row r="28" spans="1:20" ht="30" x14ac:dyDescent="0.25">
      <c r="A28" s="54" t="s">
        <v>8</v>
      </c>
      <c r="B28" s="54" t="s">
        <v>11</v>
      </c>
      <c r="C28" s="54" t="s">
        <v>71</v>
      </c>
      <c r="D28" s="791" t="s">
        <v>72</v>
      </c>
      <c r="E28" s="792"/>
      <c r="F28" s="793"/>
      <c r="G28" s="55" t="s">
        <v>73</v>
      </c>
      <c r="H28" s="18" t="s">
        <v>10</v>
      </c>
      <c r="I28" s="20" t="s">
        <v>17</v>
      </c>
      <c r="J28" s="22" t="s">
        <v>18</v>
      </c>
      <c r="K28" s="18" t="s">
        <v>19</v>
      </c>
      <c r="L28" s="18" t="s">
        <v>10</v>
      </c>
      <c r="M28" s="20" t="s">
        <v>17</v>
      </c>
      <c r="N28" s="22" t="s">
        <v>18</v>
      </c>
      <c r="O28" s="18" t="s">
        <v>19</v>
      </c>
      <c r="P28" s="18" t="s">
        <v>10</v>
      </c>
      <c r="Q28" s="20" t="s">
        <v>17</v>
      </c>
      <c r="R28" s="22" t="s">
        <v>18</v>
      </c>
      <c r="S28" s="18" t="s">
        <v>19</v>
      </c>
    </row>
    <row r="29" spans="1:20" x14ac:dyDescent="0.25">
      <c r="A29" s="40" t="s">
        <v>124</v>
      </c>
      <c r="B29" s="40" t="s">
        <v>64</v>
      </c>
      <c r="C29" s="40" t="s">
        <v>125</v>
      </c>
      <c r="D29" s="794" t="s">
        <v>126</v>
      </c>
      <c r="E29" s="795"/>
      <c r="F29" s="796"/>
      <c r="G29" s="58">
        <f t="shared" ref="G29:G30" si="21">I29</f>
        <v>15000</v>
      </c>
      <c r="H29" s="56"/>
      <c r="I29" s="57">
        <v>15000</v>
      </c>
      <c r="J29" s="57"/>
      <c r="K29" s="57"/>
      <c r="L29" s="57"/>
      <c r="M29" s="57"/>
      <c r="N29" s="57"/>
      <c r="O29" s="57"/>
      <c r="P29" s="57"/>
      <c r="Q29" s="57"/>
      <c r="R29" s="57"/>
      <c r="S29" s="57"/>
    </row>
    <row r="30" spans="1:20" x14ac:dyDescent="0.25">
      <c r="A30" s="40" t="s">
        <v>124</v>
      </c>
      <c r="B30" s="40" t="s">
        <v>64</v>
      </c>
      <c r="C30" s="40" t="s">
        <v>127</v>
      </c>
      <c r="D30" s="794" t="s">
        <v>128</v>
      </c>
      <c r="E30" s="795"/>
      <c r="F30" s="796"/>
      <c r="G30" s="58">
        <f t="shared" si="21"/>
        <v>30000</v>
      </c>
      <c r="H30" s="56"/>
      <c r="I30" s="57">
        <v>30000</v>
      </c>
      <c r="J30" s="57"/>
      <c r="K30" s="57"/>
      <c r="L30" s="57"/>
      <c r="M30" s="57"/>
      <c r="N30" s="57"/>
      <c r="O30" s="57"/>
      <c r="P30" s="57"/>
      <c r="Q30" s="57"/>
      <c r="R30" s="57"/>
      <c r="S30" s="57"/>
    </row>
    <row r="31" spans="1:20" x14ac:dyDescent="0.25">
      <c r="A31" s="40"/>
      <c r="B31" s="40"/>
      <c r="C31" s="40"/>
      <c r="D31" s="794"/>
      <c r="E31" s="795"/>
      <c r="F31" s="796"/>
      <c r="G31" s="58"/>
      <c r="H31" s="56"/>
      <c r="I31" s="59"/>
      <c r="J31" s="57"/>
      <c r="K31" s="57"/>
      <c r="L31" s="57"/>
      <c r="M31" s="57"/>
      <c r="N31" s="57"/>
      <c r="O31" s="57"/>
      <c r="P31" s="57"/>
      <c r="Q31" s="57"/>
      <c r="R31" s="57"/>
      <c r="S31" s="57"/>
    </row>
    <row r="32" spans="1:20" x14ac:dyDescent="0.25">
      <c r="A32" s="40"/>
      <c r="B32" s="40"/>
      <c r="C32" s="40"/>
      <c r="D32" s="794"/>
      <c r="E32" s="795"/>
      <c r="F32" s="796"/>
      <c r="G32" s="58"/>
      <c r="H32" s="56"/>
      <c r="I32" s="59"/>
      <c r="J32" s="57"/>
      <c r="K32" s="57"/>
      <c r="L32" s="57"/>
      <c r="M32" s="57"/>
      <c r="N32" s="57"/>
      <c r="O32" s="57"/>
      <c r="P32" s="57"/>
      <c r="Q32" s="57"/>
      <c r="R32" s="57"/>
      <c r="S32" s="57"/>
    </row>
    <row r="33" spans="1:19" x14ac:dyDescent="0.25">
      <c r="A33" s="40"/>
      <c r="B33" s="40"/>
      <c r="C33" s="40"/>
      <c r="D33" s="794"/>
      <c r="E33" s="795"/>
      <c r="F33" s="796"/>
      <c r="G33" s="58"/>
      <c r="H33" s="56"/>
      <c r="I33" s="59"/>
      <c r="J33" s="57"/>
      <c r="K33" s="57"/>
      <c r="L33" s="57"/>
      <c r="M33" s="57"/>
      <c r="N33" s="57"/>
      <c r="O33" s="57"/>
      <c r="P33" s="57"/>
      <c r="Q33" s="57"/>
      <c r="R33" s="57"/>
      <c r="S33" s="57"/>
    </row>
    <row r="34" spans="1:19" x14ac:dyDescent="0.25">
      <c r="A34" s="40"/>
      <c r="B34" s="40"/>
      <c r="C34" s="40"/>
      <c r="D34" s="794"/>
      <c r="E34" s="795"/>
      <c r="F34" s="796"/>
      <c r="G34" s="58"/>
      <c r="H34" s="56"/>
      <c r="I34" s="59"/>
      <c r="J34" s="57"/>
      <c r="K34" s="57"/>
      <c r="L34" s="57"/>
      <c r="M34" s="57"/>
      <c r="N34" s="57"/>
      <c r="O34" s="57"/>
      <c r="P34" s="57"/>
      <c r="Q34" s="57"/>
      <c r="R34" s="57"/>
      <c r="S34" s="57"/>
    </row>
    <row r="35" spans="1:19" x14ac:dyDescent="0.25">
      <c r="A35" s="40"/>
      <c r="B35" s="40"/>
      <c r="C35" s="60"/>
      <c r="D35" s="794"/>
      <c r="E35" s="795"/>
      <c r="F35" s="796"/>
      <c r="G35" s="58"/>
      <c r="H35" s="63"/>
      <c r="I35" s="57"/>
      <c r="J35" s="57"/>
      <c r="K35" s="57"/>
      <c r="L35" s="57"/>
      <c r="M35" s="57"/>
      <c r="N35" s="57"/>
      <c r="O35" s="57"/>
      <c r="P35" s="57"/>
      <c r="Q35" s="57"/>
      <c r="R35" s="57"/>
      <c r="S35" s="57"/>
    </row>
    <row r="36" spans="1:19" x14ac:dyDescent="0.25">
      <c r="A36" s="40"/>
      <c r="B36" s="40"/>
      <c r="C36" s="60"/>
      <c r="D36" s="794"/>
      <c r="E36" s="795"/>
      <c r="F36" s="796"/>
      <c r="G36" s="58"/>
      <c r="H36" s="63"/>
      <c r="I36" s="57"/>
      <c r="J36" s="57"/>
      <c r="K36" s="57"/>
      <c r="L36" s="57"/>
      <c r="M36" s="57"/>
      <c r="N36" s="57"/>
      <c r="O36" s="57"/>
      <c r="P36" s="57"/>
      <c r="Q36" s="57"/>
      <c r="R36" s="57"/>
      <c r="S36" s="57"/>
    </row>
    <row r="37" spans="1:19" x14ac:dyDescent="0.25">
      <c r="A37" s="40"/>
      <c r="B37" s="40"/>
      <c r="C37" s="60"/>
      <c r="D37" s="794"/>
      <c r="E37" s="795"/>
      <c r="F37" s="796"/>
      <c r="G37" s="58"/>
      <c r="H37" s="63"/>
      <c r="I37" s="57"/>
      <c r="J37" s="57"/>
      <c r="K37" s="57"/>
      <c r="L37" s="57"/>
      <c r="M37" s="57"/>
      <c r="N37" s="57"/>
      <c r="O37" s="57"/>
      <c r="P37" s="57"/>
      <c r="Q37" s="57"/>
      <c r="R37" s="57"/>
      <c r="S37" s="57"/>
    </row>
    <row r="38" spans="1:19" x14ac:dyDescent="0.25">
      <c r="A38" s="40"/>
      <c r="B38" s="40"/>
      <c r="C38" s="40"/>
      <c r="D38" s="794"/>
      <c r="E38" s="795"/>
      <c r="F38" s="796"/>
      <c r="G38" s="58"/>
      <c r="H38" s="63"/>
      <c r="I38" s="57"/>
      <c r="J38" s="57"/>
      <c r="K38" s="57"/>
      <c r="L38" s="57"/>
      <c r="M38" s="57"/>
      <c r="N38" s="57"/>
      <c r="O38" s="57"/>
      <c r="P38" s="57"/>
      <c r="Q38" s="57"/>
      <c r="R38" s="57"/>
      <c r="S38" s="57"/>
    </row>
    <row r="39" spans="1:19" x14ac:dyDescent="0.25">
      <c r="A39" s="66"/>
      <c r="B39" s="40"/>
      <c r="C39" s="40"/>
      <c r="D39" s="794"/>
      <c r="E39" s="795"/>
      <c r="F39" s="796"/>
      <c r="G39" s="68"/>
      <c r="H39" s="69"/>
      <c r="I39" s="70"/>
      <c r="J39" s="70"/>
      <c r="K39" s="70"/>
      <c r="L39" s="70"/>
      <c r="M39" s="70"/>
      <c r="N39" s="70"/>
      <c r="O39" s="70"/>
      <c r="P39" s="70"/>
      <c r="Q39" s="70"/>
      <c r="R39" s="70"/>
      <c r="S39" s="70"/>
    </row>
    <row r="40" spans="1:19" x14ac:dyDescent="0.25">
      <c r="A40" s="66"/>
      <c r="B40" s="66"/>
      <c r="C40" s="66"/>
      <c r="D40" s="794"/>
      <c r="E40" s="795"/>
      <c r="F40" s="796"/>
      <c r="G40" s="72"/>
      <c r="H40" s="74"/>
      <c r="I40" s="75"/>
      <c r="J40" s="75"/>
      <c r="K40" s="75"/>
      <c r="L40" s="75"/>
      <c r="M40" s="75"/>
      <c r="N40" s="75"/>
      <c r="O40" s="75"/>
      <c r="P40" s="75"/>
      <c r="Q40" s="75"/>
      <c r="R40" s="75"/>
      <c r="S40" s="75"/>
    </row>
    <row r="41" spans="1:19" x14ac:dyDescent="0.25">
      <c r="G41" s="108">
        <f>SUM(G29:G40)</f>
        <v>45000</v>
      </c>
      <c r="H41" s="109">
        <f t="shared" ref="H41:S41" si="22">SUM(H29:H34)</f>
        <v>0</v>
      </c>
      <c r="I41" s="108">
        <f t="shared" si="22"/>
        <v>45000</v>
      </c>
      <c r="J41" s="108">
        <f t="shared" si="22"/>
        <v>0</v>
      </c>
      <c r="K41" s="108">
        <f t="shared" si="22"/>
        <v>0</v>
      </c>
      <c r="L41" s="108">
        <f t="shared" si="22"/>
        <v>0</v>
      </c>
      <c r="M41" s="108">
        <f t="shared" si="22"/>
        <v>0</v>
      </c>
      <c r="N41" s="108">
        <f t="shared" si="22"/>
        <v>0</v>
      </c>
      <c r="O41" s="108">
        <f t="shared" si="22"/>
        <v>0</v>
      </c>
      <c r="P41" s="108">
        <f t="shared" si="22"/>
        <v>0</v>
      </c>
      <c r="Q41" s="108">
        <f t="shared" si="22"/>
        <v>0</v>
      </c>
      <c r="R41" s="108">
        <f t="shared" si="22"/>
        <v>0</v>
      </c>
      <c r="S41" s="108">
        <f t="shared" si="22"/>
        <v>0</v>
      </c>
    </row>
  </sheetData>
  <mergeCells count="21">
    <mergeCell ref="D39:F39"/>
    <mergeCell ref="D40:F40"/>
    <mergeCell ref="D29:F29"/>
    <mergeCell ref="D28:F28"/>
    <mergeCell ref="D31:F31"/>
    <mergeCell ref="D30:F30"/>
    <mergeCell ref="D38:F38"/>
    <mergeCell ref="D33:F33"/>
    <mergeCell ref="D32:F32"/>
    <mergeCell ref="D35:F35"/>
    <mergeCell ref="D34:F34"/>
    <mergeCell ref="D37:F37"/>
    <mergeCell ref="D36:F36"/>
    <mergeCell ref="N3:Q3"/>
    <mergeCell ref="R3:S3"/>
    <mergeCell ref="J3:M3"/>
    <mergeCell ref="H3:I3"/>
    <mergeCell ref="J27:M27"/>
    <mergeCell ref="N27:Q27"/>
    <mergeCell ref="R27:S27"/>
    <mergeCell ref="H27:I27"/>
  </mergeCell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41"/>
  <sheetViews>
    <sheetView showGridLines="0" topLeftCell="C1" zoomScale="80" zoomScaleNormal="80" workbookViewId="0">
      <selection activeCell="J30" sqref="J30:M30"/>
    </sheetView>
  </sheetViews>
  <sheetFormatPr defaultColWidth="14.42578125" defaultRowHeight="15" customHeight="1" outlineLevelRow="2" x14ac:dyDescent="0.25"/>
  <cols>
    <col min="1" max="1" width="17.42578125" customWidth="1"/>
    <col min="2" max="2" width="29.140625" customWidth="1"/>
    <col min="3" max="3" width="20.85546875" customWidth="1"/>
    <col min="4" max="4" width="20.7109375" customWidth="1"/>
    <col min="5" max="6" width="17.140625" customWidth="1"/>
    <col min="7" max="7" width="17.28515625" customWidth="1"/>
    <col min="8" max="9" width="9.85546875" customWidth="1"/>
    <col min="10" max="10" width="11.5703125" customWidth="1"/>
    <col min="11" max="11" width="12.5703125" customWidth="1"/>
    <col min="12" max="12" width="12" customWidth="1"/>
    <col min="13" max="19" width="9.85546875" customWidth="1"/>
    <col min="20" max="20" width="7.85546875" customWidth="1"/>
    <col min="21" max="27" width="15.85546875" customWidth="1"/>
  </cols>
  <sheetData>
    <row r="1" spans="1:20" ht="23.25" x14ac:dyDescent="0.35">
      <c r="A1" s="1" t="s">
        <v>2</v>
      </c>
    </row>
    <row r="2" spans="1:20" x14ac:dyDescent="0.25">
      <c r="I2" s="5"/>
      <c r="J2" s="6"/>
      <c r="K2" s="5"/>
      <c r="L2" s="5"/>
      <c r="M2" s="5"/>
      <c r="N2" s="6"/>
      <c r="O2" s="5"/>
      <c r="P2" s="5"/>
      <c r="Q2" s="5"/>
      <c r="R2" s="6"/>
      <c r="S2" s="5"/>
      <c r="T2" s="5"/>
    </row>
    <row r="3" spans="1:20" ht="18.75" hidden="1" outlineLevel="1" x14ac:dyDescent="0.3">
      <c r="A3" s="7" t="s">
        <v>4</v>
      </c>
      <c r="H3" s="790">
        <v>2019</v>
      </c>
      <c r="I3" s="789"/>
      <c r="J3" s="787">
        <v>2020</v>
      </c>
      <c r="K3" s="788"/>
      <c r="L3" s="788"/>
      <c r="M3" s="789"/>
      <c r="N3" s="787">
        <v>2021</v>
      </c>
      <c r="O3" s="788"/>
      <c r="P3" s="788"/>
      <c r="Q3" s="789"/>
      <c r="R3" s="790">
        <v>2022</v>
      </c>
      <c r="S3" s="789"/>
      <c r="T3" s="5"/>
    </row>
    <row r="4" spans="1:20" hidden="1" outlineLevel="2" x14ac:dyDescent="0.25">
      <c r="A4" s="8"/>
      <c r="B4" s="8"/>
      <c r="C4" s="8"/>
      <c r="D4" s="11"/>
      <c r="E4" s="8"/>
      <c r="F4" s="8"/>
      <c r="G4" s="11"/>
      <c r="H4" s="13">
        <v>43647</v>
      </c>
      <c r="I4" s="13">
        <v>43739</v>
      </c>
      <c r="J4" s="13">
        <v>43831</v>
      </c>
      <c r="K4" s="13">
        <v>43922</v>
      </c>
      <c r="L4" s="13">
        <v>44013</v>
      </c>
      <c r="M4" s="13">
        <v>44105</v>
      </c>
      <c r="N4" s="13">
        <v>44197</v>
      </c>
      <c r="O4" s="13">
        <v>44287</v>
      </c>
      <c r="P4" s="13">
        <v>44378</v>
      </c>
      <c r="Q4" s="13">
        <v>44470</v>
      </c>
      <c r="R4" s="13">
        <v>44562</v>
      </c>
      <c r="S4" s="13">
        <v>44652</v>
      </c>
      <c r="T4" s="5"/>
    </row>
    <row r="5" spans="1:20" ht="30" hidden="1" outlineLevel="1" collapsed="1" x14ac:dyDescent="0.25">
      <c r="A5" s="15" t="s">
        <v>8</v>
      </c>
      <c r="B5" s="15" t="s">
        <v>11</v>
      </c>
      <c r="C5" s="15" t="s">
        <v>12</v>
      </c>
      <c r="D5" s="16" t="s">
        <v>13</v>
      </c>
      <c r="E5" s="17" t="s">
        <v>14</v>
      </c>
      <c r="F5" s="17" t="s">
        <v>15</v>
      </c>
      <c r="G5" s="16" t="s">
        <v>16</v>
      </c>
      <c r="H5" s="19" t="s">
        <v>10</v>
      </c>
      <c r="I5" s="21" t="s">
        <v>17</v>
      </c>
      <c r="J5" s="23" t="s">
        <v>18</v>
      </c>
      <c r="K5" s="25" t="s">
        <v>19</v>
      </c>
      <c r="L5" s="25" t="s">
        <v>10</v>
      </c>
      <c r="M5" s="21" t="s">
        <v>17</v>
      </c>
      <c r="N5" s="23" t="s">
        <v>18</v>
      </c>
      <c r="O5" s="25" t="s">
        <v>19</v>
      </c>
      <c r="P5" s="25" t="s">
        <v>10</v>
      </c>
      <c r="Q5" s="21" t="s">
        <v>17</v>
      </c>
      <c r="R5" s="23" t="s">
        <v>18</v>
      </c>
      <c r="S5" s="25" t="s">
        <v>19</v>
      </c>
      <c r="T5" s="5"/>
    </row>
    <row r="6" spans="1:20" hidden="1" outlineLevel="1" x14ac:dyDescent="0.25">
      <c r="A6" s="27"/>
      <c r="B6" s="27"/>
      <c r="C6" s="30"/>
      <c r="D6" s="27"/>
      <c r="E6" s="37"/>
      <c r="F6" s="27"/>
      <c r="G6" s="39"/>
      <c r="H6" s="31">
        <f t="shared" ref="H6:R6" si="0">IF($E6&lt;I$4,($G6*1.3)/4,0)</f>
        <v>0</v>
      </c>
      <c r="I6" s="33">
        <f t="shared" si="0"/>
        <v>0</v>
      </c>
      <c r="J6" s="33">
        <f t="shared" si="0"/>
        <v>0</v>
      </c>
      <c r="K6" s="33">
        <f t="shared" si="0"/>
        <v>0</v>
      </c>
      <c r="L6" s="33">
        <f t="shared" si="0"/>
        <v>0</v>
      </c>
      <c r="M6" s="33">
        <f t="shared" si="0"/>
        <v>0</v>
      </c>
      <c r="N6" s="33">
        <f t="shared" si="0"/>
        <v>0</v>
      </c>
      <c r="O6" s="33">
        <f t="shared" si="0"/>
        <v>0</v>
      </c>
      <c r="P6" s="33">
        <f t="shared" si="0"/>
        <v>0</v>
      </c>
      <c r="Q6" s="33">
        <f t="shared" si="0"/>
        <v>0</v>
      </c>
      <c r="R6" s="33">
        <f t="shared" si="0"/>
        <v>0</v>
      </c>
      <c r="S6" s="33">
        <f t="shared" ref="S6:S24" si="1">IF($E6&lt;S$4,($G6*1.3)/4,0)</f>
        <v>0</v>
      </c>
      <c r="T6" s="5"/>
    </row>
    <row r="7" spans="1:20" hidden="1" outlineLevel="1" x14ac:dyDescent="0.25">
      <c r="A7" s="40"/>
      <c r="B7" s="40"/>
      <c r="C7" s="35"/>
      <c r="D7" s="40"/>
      <c r="E7" s="42"/>
      <c r="F7" s="43"/>
      <c r="G7" s="44"/>
      <c r="H7" s="31">
        <f t="shared" ref="H7:R7" si="2">IF($E7&lt;I$4,($G7*1.3)/4,0)</f>
        <v>0</v>
      </c>
      <c r="I7" s="33">
        <f t="shared" si="2"/>
        <v>0</v>
      </c>
      <c r="J7" s="33">
        <f t="shared" si="2"/>
        <v>0</v>
      </c>
      <c r="K7" s="33">
        <f t="shared" si="2"/>
        <v>0</v>
      </c>
      <c r="L7" s="33">
        <f t="shared" si="2"/>
        <v>0</v>
      </c>
      <c r="M7" s="33">
        <f t="shared" si="2"/>
        <v>0</v>
      </c>
      <c r="N7" s="33">
        <f t="shared" si="2"/>
        <v>0</v>
      </c>
      <c r="O7" s="33">
        <f t="shared" si="2"/>
        <v>0</v>
      </c>
      <c r="P7" s="33">
        <f t="shared" si="2"/>
        <v>0</v>
      </c>
      <c r="Q7" s="33">
        <f t="shared" si="2"/>
        <v>0</v>
      </c>
      <c r="R7" s="33">
        <f t="shared" si="2"/>
        <v>0</v>
      </c>
      <c r="S7" s="33">
        <f t="shared" si="1"/>
        <v>0</v>
      </c>
      <c r="T7" s="5"/>
    </row>
    <row r="8" spans="1:20" hidden="1" outlineLevel="1" x14ac:dyDescent="0.25">
      <c r="A8" s="40"/>
      <c r="B8" s="40"/>
      <c r="C8" s="35"/>
      <c r="D8" s="40"/>
      <c r="E8" s="42"/>
      <c r="F8" s="43"/>
      <c r="G8" s="44"/>
      <c r="H8" s="31">
        <f t="shared" ref="H8:R8" si="3">IF($E8&lt;I$4,($G8*1.3)/4,0)</f>
        <v>0</v>
      </c>
      <c r="I8" s="33">
        <f t="shared" si="3"/>
        <v>0</v>
      </c>
      <c r="J8" s="33">
        <f t="shared" si="3"/>
        <v>0</v>
      </c>
      <c r="K8" s="33">
        <f t="shared" si="3"/>
        <v>0</v>
      </c>
      <c r="L8" s="33">
        <f t="shared" si="3"/>
        <v>0</v>
      </c>
      <c r="M8" s="33">
        <f t="shared" si="3"/>
        <v>0</v>
      </c>
      <c r="N8" s="33">
        <f t="shared" si="3"/>
        <v>0</v>
      </c>
      <c r="O8" s="33">
        <f t="shared" si="3"/>
        <v>0</v>
      </c>
      <c r="P8" s="33">
        <f t="shared" si="3"/>
        <v>0</v>
      </c>
      <c r="Q8" s="33">
        <f t="shared" si="3"/>
        <v>0</v>
      </c>
      <c r="R8" s="33">
        <f t="shared" si="3"/>
        <v>0</v>
      </c>
      <c r="S8" s="33">
        <f t="shared" si="1"/>
        <v>0</v>
      </c>
      <c r="T8" s="5"/>
    </row>
    <row r="9" spans="1:20" hidden="1" outlineLevel="1" x14ac:dyDescent="0.25">
      <c r="A9" s="40"/>
      <c r="B9" s="40"/>
      <c r="C9" s="35"/>
      <c r="D9" s="40"/>
      <c r="E9" s="42"/>
      <c r="F9" s="43"/>
      <c r="G9" s="44"/>
      <c r="H9" s="31">
        <f t="shared" ref="H9:R9" si="4">IF($E9&lt;I$4,($G9*1.3)/4,0)</f>
        <v>0</v>
      </c>
      <c r="I9" s="33">
        <f t="shared" si="4"/>
        <v>0</v>
      </c>
      <c r="J9" s="33">
        <f t="shared" si="4"/>
        <v>0</v>
      </c>
      <c r="K9" s="33">
        <f t="shared" si="4"/>
        <v>0</v>
      </c>
      <c r="L9" s="33">
        <f t="shared" si="4"/>
        <v>0</v>
      </c>
      <c r="M9" s="33">
        <f t="shared" si="4"/>
        <v>0</v>
      </c>
      <c r="N9" s="33">
        <f t="shared" si="4"/>
        <v>0</v>
      </c>
      <c r="O9" s="33">
        <f t="shared" si="4"/>
        <v>0</v>
      </c>
      <c r="P9" s="33">
        <f t="shared" si="4"/>
        <v>0</v>
      </c>
      <c r="Q9" s="33">
        <f t="shared" si="4"/>
        <v>0</v>
      </c>
      <c r="R9" s="33">
        <f t="shared" si="4"/>
        <v>0</v>
      </c>
      <c r="S9" s="33">
        <f t="shared" si="1"/>
        <v>0</v>
      </c>
      <c r="T9" s="5"/>
    </row>
    <row r="10" spans="1:20" hidden="1" outlineLevel="1" x14ac:dyDescent="0.25">
      <c r="A10" s="40"/>
      <c r="B10" s="40"/>
      <c r="C10" s="35"/>
      <c r="D10" s="40"/>
      <c r="E10" s="42"/>
      <c r="F10" s="43"/>
      <c r="G10" s="44"/>
      <c r="H10" s="31">
        <f t="shared" ref="H10:R10" si="5">IF($E10&lt;I$4,($G10*1.3)/4,0)</f>
        <v>0</v>
      </c>
      <c r="I10" s="33">
        <f t="shared" si="5"/>
        <v>0</v>
      </c>
      <c r="J10" s="33">
        <f t="shared" si="5"/>
        <v>0</v>
      </c>
      <c r="K10" s="33">
        <f t="shared" si="5"/>
        <v>0</v>
      </c>
      <c r="L10" s="33">
        <f t="shared" si="5"/>
        <v>0</v>
      </c>
      <c r="M10" s="33">
        <f t="shared" si="5"/>
        <v>0</v>
      </c>
      <c r="N10" s="33">
        <f t="shared" si="5"/>
        <v>0</v>
      </c>
      <c r="O10" s="33">
        <f t="shared" si="5"/>
        <v>0</v>
      </c>
      <c r="P10" s="33">
        <f t="shared" si="5"/>
        <v>0</v>
      </c>
      <c r="Q10" s="33">
        <f t="shared" si="5"/>
        <v>0</v>
      </c>
      <c r="R10" s="33">
        <f t="shared" si="5"/>
        <v>0</v>
      </c>
      <c r="S10" s="33">
        <f t="shared" si="1"/>
        <v>0</v>
      </c>
      <c r="T10" s="5"/>
    </row>
    <row r="11" spans="1:20" hidden="1" outlineLevel="1" x14ac:dyDescent="0.25">
      <c r="A11" s="40"/>
      <c r="B11" s="40"/>
      <c r="C11" s="35"/>
      <c r="D11" s="40"/>
      <c r="E11" s="42"/>
      <c r="F11" s="43"/>
      <c r="G11" s="44"/>
      <c r="H11" s="31">
        <f t="shared" ref="H11:R11" si="6">IF($E11&lt;I$4,($G11*1.3)/4,0)</f>
        <v>0</v>
      </c>
      <c r="I11" s="33">
        <f t="shared" si="6"/>
        <v>0</v>
      </c>
      <c r="J11" s="33">
        <f t="shared" si="6"/>
        <v>0</v>
      </c>
      <c r="K11" s="33">
        <f t="shared" si="6"/>
        <v>0</v>
      </c>
      <c r="L11" s="33">
        <f t="shared" si="6"/>
        <v>0</v>
      </c>
      <c r="M11" s="33">
        <f t="shared" si="6"/>
        <v>0</v>
      </c>
      <c r="N11" s="33">
        <f t="shared" si="6"/>
        <v>0</v>
      </c>
      <c r="O11" s="33">
        <f t="shared" si="6"/>
        <v>0</v>
      </c>
      <c r="P11" s="33">
        <f t="shared" si="6"/>
        <v>0</v>
      </c>
      <c r="Q11" s="33">
        <f t="shared" si="6"/>
        <v>0</v>
      </c>
      <c r="R11" s="33">
        <f t="shared" si="6"/>
        <v>0</v>
      </c>
      <c r="S11" s="33">
        <f t="shared" si="1"/>
        <v>0</v>
      </c>
      <c r="T11" s="5"/>
    </row>
    <row r="12" spans="1:20" hidden="1" outlineLevel="1" x14ac:dyDescent="0.25">
      <c r="A12" s="40"/>
      <c r="B12" s="40"/>
      <c r="C12" s="35"/>
      <c r="D12" s="40"/>
      <c r="E12" s="42"/>
      <c r="F12" s="43"/>
      <c r="G12" s="44"/>
      <c r="H12" s="31">
        <f t="shared" ref="H12:R12" si="7">IF($E12&lt;I$4,($G12*1.3)/4,0)</f>
        <v>0</v>
      </c>
      <c r="I12" s="33">
        <f t="shared" si="7"/>
        <v>0</v>
      </c>
      <c r="J12" s="33">
        <f t="shared" si="7"/>
        <v>0</v>
      </c>
      <c r="K12" s="33">
        <f t="shared" si="7"/>
        <v>0</v>
      </c>
      <c r="L12" s="33">
        <f t="shared" si="7"/>
        <v>0</v>
      </c>
      <c r="M12" s="33">
        <f t="shared" si="7"/>
        <v>0</v>
      </c>
      <c r="N12" s="33">
        <f t="shared" si="7"/>
        <v>0</v>
      </c>
      <c r="O12" s="33">
        <f t="shared" si="7"/>
        <v>0</v>
      </c>
      <c r="P12" s="33">
        <f t="shared" si="7"/>
        <v>0</v>
      </c>
      <c r="Q12" s="33">
        <f t="shared" si="7"/>
        <v>0</v>
      </c>
      <c r="R12" s="33">
        <f t="shared" si="7"/>
        <v>0</v>
      </c>
      <c r="S12" s="33">
        <f t="shared" si="1"/>
        <v>0</v>
      </c>
      <c r="T12" s="5"/>
    </row>
    <row r="13" spans="1:20" hidden="1" outlineLevel="1" x14ac:dyDescent="0.25">
      <c r="A13" s="40"/>
      <c r="B13" s="40"/>
      <c r="C13" s="35"/>
      <c r="D13" s="40"/>
      <c r="E13" s="42"/>
      <c r="F13" s="43"/>
      <c r="G13" s="44"/>
      <c r="H13" s="31">
        <f t="shared" ref="H13:R13" si="8">IF($E13&lt;I$4,($G13*1.3)/4,0)</f>
        <v>0</v>
      </c>
      <c r="I13" s="33">
        <f t="shared" si="8"/>
        <v>0</v>
      </c>
      <c r="J13" s="33">
        <f t="shared" si="8"/>
        <v>0</v>
      </c>
      <c r="K13" s="33">
        <f t="shared" si="8"/>
        <v>0</v>
      </c>
      <c r="L13" s="33">
        <f t="shared" si="8"/>
        <v>0</v>
      </c>
      <c r="M13" s="33">
        <f t="shared" si="8"/>
        <v>0</v>
      </c>
      <c r="N13" s="33">
        <f t="shared" si="8"/>
        <v>0</v>
      </c>
      <c r="O13" s="33">
        <f t="shared" si="8"/>
        <v>0</v>
      </c>
      <c r="P13" s="33">
        <f t="shared" si="8"/>
        <v>0</v>
      </c>
      <c r="Q13" s="33">
        <f t="shared" si="8"/>
        <v>0</v>
      </c>
      <c r="R13" s="33">
        <f t="shared" si="8"/>
        <v>0</v>
      </c>
      <c r="S13" s="33">
        <f t="shared" si="1"/>
        <v>0</v>
      </c>
      <c r="T13" s="5"/>
    </row>
    <row r="14" spans="1:20" hidden="1" outlineLevel="1" x14ac:dyDescent="0.25">
      <c r="A14" s="40"/>
      <c r="B14" s="40"/>
      <c r="C14" s="35"/>
      <c r="D14" s="40"/>
      <c r="E14" s="42"/>
      <c r="F14" s="43"/>
      <c r="G14" s="44"/>
      <c r="H14" s="31">
        <f t="shared" ref="H14:R14" si="9">IF($E14&lt;I$4,($G14*1.3)/4,0)</f>
        <v>0</v>
      </c>
      <c r="I14" s="33">
        <f t="shared" si="9"/>
        <v>0</v>
      </c>
      <c r="J14" s="33">
        <f t="shared" si="9"/>
        <v>0</v>
      </c>
      <c r="K14" s="33">
        <f t="shared" si="9"/>
        <v>0</v>
      </c>
      <c r="L14" s="33">
        <f t="shared" si="9"/>
        <v>0</v>
      </c>
      <c r="M14" s="33">
        <f t="shared" si="9"/>
        <v>0</v>
      </c>
      <c r="N14" s="33">
        <f t="shared" si="9"/>
        <v>0</v>
      </c>
      <c r="O14" s="33">
        <f t="shared" si="9"/>
        <v>0</v>
      </c>
      <c r="P14" s="33">
        <f t="shared" si="9"/>
        <v>0</v>
      </c>
      <c r="Q14" s="33">
        <f t="shared" si="9"/>
        <v>0</v>
      </c>
      <c r="R14" s="33">
        <f t="shared" si="9"/>
        <v>0</v>
      </c>
      <c r="S14" s="33">
        <f t="shared" si="1"/>
        <v>0</v>
      </c>
      <c r="T14" s="5"/>
    </row>
    <row r="15" spans="1:20" hidden="1" outlineLevel="1" x14ac:dyDescent="0.25">
      <c r="A15" s="40"/>
      <c r="B15" s="40"/>
      <c r="C15" s="35"/>
      <c r="D15" s="40"/>
      <c r="E15" s="42"/>
      <c r="F15" s="43"/>
      <c r="G15" s="44"/>
      <c r="H15" s="31">
        <f t="shared" ref="H15:R15" si="10">IF($E15&lt;I$4,($G15*1.3)/4,0)</f>
        <v>0</v>
      </c>
      <c r="I15" s="33">
        <f t="shared" si="10"/>
        <v>0</v>
      </c>
      <c r="J15" s="33">
        <f t="shared" si="10"/>
        <v>0</v>
      </c>
      <c r="K15" s="33">
        <f t="shared" si="10"/>
        <v>0</v>
      </c>
      <c r="L15" s="33">
        <f t="shared" si="10"/>
        <v>0</v>
      </c>
      <c r="M15" s="33">
        <f t="shared" si="10"/>
        <v>0</v>
      </c>
      <c r="N15" s="33">
        <f t="shared" si="10"/>
        <v>0</v>
      </c>
      <c r="O15" s="33">
        <f t="shared" si="10"/>
        <v>0</v>
      </c>
      <c r="P15" s="33">
        <f t="shared" si="10"/>
        <v>0</v>
      </c>
      <c r="Q15" s="33">
        <f t="shared" si="10"/>
        <v>0</v>
      </c>
      <c r="R15" s="33">
        <f t="shared" si="10"/>
        <v>0</v>
      </c>
      <c r="S15" s="33">
        <f t="shared" si="1"/>
        <v>0</v>
      </c>
      <c r="T15" s="5"/>
    </row>
    <row r="16" spans="1:20" hidden="1" outlineLevel="1" x14ac:dyDescent="0.25">
      <c r="A16" s="40"/>
      <c r="B16" s="40"/>
      <c r="C16" s="35"/>
      <c r="D16" s="40"/>
      <c r="E16" s="42"/>
      <c r="F16" s="43"/>
      <c r="G16" s="44"/>
      <c r="H16" s="31">
        <f t="shared" ref="H16:R16" si="11">IF($E16&lt;I$4,($G16*1.3)/4,0)</f>
        <v>0</v>
      </c>
      <c r="I16" s="33">
        <f t="shared" si="11"/>
        <v>0</v>
      </c>
      <c r="J16" s="33">
        <f t="shared" si="11"/>
        <v>0</v>
      </c>
      <c r="K16" s="33">
        <f t="shared" si="11"/>
        <v>0</v>
      </c>
      <c r="L16" s="33">
        <f t="shared" si="11"/>
        <v>0</v>
      </c>
      <c r="M16" s="33">
        <f t="shared" si="11"/>
        <v>0</v>
      </c>
      <c r="N16" s="33">
        <f t="shared" si="11"/>
        <v>0</v>
      </c>
      <c r="O16" s="33">
        <f t="shared" si="11"/>
        <v>0</v>
      </c>
      <c r="P16" s="33">
        <f t="shared" si="11"/>
        <v>0</v>
      </c>
      <c r="Q16" s="33">
        <f t="shared" si="11"/>
        <v>0</v>
      </c>
      <c r="R16" s="33">
        <f t="shared" si="11"/>
        <v>0</v>
      </c>
      <c r="S16" s="33">
        <f t="shared" si="1"/>
        <v>0</v>
      </c>
      <c r="T16" s="5"/>
    </row>
    <row r="17" spans="1:20" hidden="1" outlineLevel="1" x14ac:dyDescent="0.25">
      <c r="A17" s="40"/>
      <c r="B17" s="40"/>
      <c r="C17" s="35"/>
      <c r="D17" s="40"/>
      <c r="E17" s="40"/>
      <c r="F17" s="43"/>
      <c r="G17" s="44"/>
      <c r="H17" s="31">
        <f t="shared" ref="H17:R17" si="12">IF($E17&lt;I$4,($G17*1.3)/4,0)</f>
        <v>0</v>
      </c>
      <c r="I17" s="33">
        <f t="shared" si="12"/>
        <v>0</v>
      </c>
      <c r="J17" s="33">
        <f t="shared" si="12"/>
        <v>0</v>
      </c>
      <c r="K17" s="33">
        <f t="shared" si="12"/>
        <v>0</v>
      </c>
      <c r="L17" s="33">
        <f t="shared" si="12"/>
        <v>0</v>
      </c>
      <c r="M17" s="33">
        <f t="shared" si="12"/>
        <v>0</v>
      </c>
      <c r="N17" s="33">
        <f t="shared" si="12"/>
        <v>0</v>
      </c>
      <c r="O17" s="33">
        <f t="shared" si="12"/>
        <v>0</v>
      </c>
      <c r="P17" s="33">
        <f t="shared" si="12"/>
        <v>0</v>
      </c>
      <c r="Q17" s="33">
        <f t="shared" si="12"/>
        <v>0</v>
      </c>
      <c r="R17" s="33">
        <f t="shared" si="12"/>
        <v>0</v>
      </c>
      <c r="S17" s="33">
        <f t="shared" si="1"/>
        <v>0</v>
      </c>
      <c r="T17" s="5"/>
    </row>
    <row r="18" spans="1:20" hidden="1" outlineLevel="1" x14ac:dyDescent="0.25">
      <c r="A18" s="40"/>
      <c r="B18" s="40"/>
      <c r="C18" s="35"/>
      <c r="D18" s="40"/>
      <c r="E18" s="40"/>
      <c r="F18" s="43"/>
      <c r="G18" s="44"/>
      <c r="H18" s="31">
        <f t="shared" ref="H18:R18" si="13">IF($E18&lt;I$4,($G18*1.3)/4,0)</f>
        <v>0</v>
      </c>
      <c r="I18" s="33">
        <f t="shared" si="13"/>
        <v>0</v>
      </c>
      <c r="J18" s="33">
        <f t="shared" si="13"/>
        <v>0</v>
      </c>
      <c r="K18" s="33">
        <f t="shared" si="13"/>
        <v>0</v>
      </c>
      <c r="L18" s="33">
        <f t="shared" si="13"/>
        <v>0</v>
      </c>
      <c r="M18" s="33">
        <f t="shared" si="13"/>
        <v>0</v>
      </c>
      <c r="N18" s="33">
        <f t="shared" si="13"/>
        <v>0</v>
      </c>
      <c r="O18" s="33">
        <f t="shared" si="13"/>
        <v>0</v>
      </c>
      <c r="P18" s="33">
        <f t="shared" si="13"/>
        <v>0</v>
      </c>
      <c r="Q18" s="33">
        <f t="shared" si="13"/>
        <v>0</v>
      </c>
      <c r="R18" s="33">
        <f t="shared" si="13"/>
        <v>0</v>
      </c>
      <c r="S18" s="33">
        <f t="shared" si="1"/>
        <v>0</v>
      </c>
      <c r="T18" s="5"/>
    </row>
    <row r="19" spans="1:20" hidden="1" outlineLevel="1" x14ac:dyDescent="0.25">
      <c r="A19" s="40"/>
      <c r="B19" s="40"/>
      <c r="C19" s="35"/>
      <c r="D19" s="40"/>
      <c r="E19" s="40"/>
      <c r="F19" s="43"/>
      <c r="G19" s="44"/>
      <c r="H19" s="31">
        <f t="shared" ref="H19:R19" si="14">IF($E19&lt;I$4,($G19*1.3)/4,0)</f>
        <v>0</v>
      </c>
      <c r="I19" s="33">
        <f t="shared" si="14"/>
        <v>0</v>
      </c>
      <c r="J19" s="33">
        <f t="shared" si="14"/>
        <v>0</v>
      </c>
      <c r="K19" s="33">
        <f t="shared" si="14"/>
        <v>0</v>
      </c>
      <c r="L19" s="33">
        <f t="shared" si="14"/>
        <v>0</v>
      </c>
      <c r="M19" s="33">
        <f t="shared" si="14"/>
        <v>0</v>
      </c>
      <c r="N19" s="33">
        <f t="shared" si="14"/>
        <v>0</v>
      </c>
      <c r="O19" s="33">
        <f t="shared" si="14"/>
        <v>0</v>
      </c>
      <c r="P19" s="33">
        <f t="shared" si="14"/>
        <v>0</v>
      </c>
      <c r="Q19" s="33">
        <f t="shared" si="14"/>
        <v>0</v>
      </c>
      <c r="R19" s="33">
        <f t="shared" si="14"/>
        <v>0</v>
      </c>
      <c r="S19" s="33">
        <f t="shared" si="1"/>
        <v>0</v>
      </c>
      <c r="T19" s="5"/>
    </row>
    <row r="20" spans="1:20" hidden="1" outlineLevel="1" x14ac:dyDescent="0.25">
      <c r="A20" s="40"/>
      <c r="B20" s="40"/>
      <c r="C20" s="35"/>
      <c r="D20" s="40"/>
      <c r="E20" s="43"/>
      <c r="F20" s="43"/>
      <c r="G20" s="44"/>
      <c r="H20" s="31">
        <f t="shared" ref="H20:R20" si="15">IF($E20&lt;I$4,($G20*1.3)/4,0)</f>
        <v>0</v>
      </c>
      <c r="I20" s="33">
        <f t="shared" si="15"/>
        <v>0</v>
      </c>
      <c r="J20" s="33">
        <f t="shared" si="15"/>
        <v>0</v>
      </c>
      <c r="K20" s="33">
        <f t="shared" si="15"/>
        <v>0</v>
      </c>
      <c r="L20" s="33">
        <f t="shared" si="15"/>
        <v>0</v>
      </c>
      <c r="M20" s="33">
        <f t="shared" si="15"/>
        <v>0</v>
      </c>
      <c r="N20" s="33">
        <f t="shared" si="15"/>
        <v>0</v>
      </c>
      <c r="O20" s="33">
        <f t="shared" si="15"/>
        <v>0</v>
      </c>
      <c r="P20" s="33">
        <f t="shared" si="15"/>
        <v>0</v>
      </c>
      <c r="Q20" s="33">
        <f t="shared" si="15"/>
        <v>0</v>
      </c>
      <c r="R20" s="33">
        <f t="shared" si="15"/>
        <v>0</v>
      </c>
      <c r="S20" s="33">
        <f t="shared" si="1"/>
        <v>0</v>
      </c>
      <c r="T20" s="5"/>
    </row>
    <row r="21" spans="1:20" hidden="1" outlineLevel="1" x14ac:dyDescent="0.25">
      <c r="A21" s="40"/>
      <c r="B21" s="40"/>
      <c r="C21" s="35"/>
      <c r="D21" s="40"/>
      <c r="E21" s="43"/>
      <c r="F21" s="43"/>
      <c r="G21" s="44"/>
      <c r="H21" s="31">
        <f t="shared" ref="H21:R21" si="16">IF($E21&lt;I$4,($G21*1.3)/4,0)</f>
        <v>0</v>
      </c>
      <c r="I21" s="33">
        <f t="shared" si="16"/>
        <v>0</v>
      </c>
      <c r="J21" s="33">
        <f t="shared" si="16"/>
        <v>0</v>
      </c>
      <c r="K21" s="33">
        <f t="shared" si="16"/>
        <v>0</v>
      </c>
      <c r="L21" s="33">
        <f t="shared" si="16"/>
        <v>0</v>
      </c>
      <c r="M21" s="33">
        <f t="shared" si="16"/>
        <v>0</v>
      </c>
      <c r="N21" s="33">
        <f t="shared" si="16"/>
        <v>0</v>
      </c>
      <c r="O21" s="33">
        <f t="shared" si="16"/>
        <v>0</v>
      </c>
      <c r="P21" s="33">
        <f t="shared" si="16"/>
        <v>0</v>
      </c>
      <c r="Q21" s="33">
        <f t="shared" si="16"/>
        <v>0</v>
      </c>
      <c r="R21" s="33">
        <f t="shared" si="16"/>
        <v>0</v>
      </c>
      <c r="S21" s="33">
        <f t="shared" si="1"/>
        <v>0</v>
      </c>
      <c r="T21" s="5"/>
    </row>
    <row r="22" spans="1:20" hidden="1" outlineLevel="1" x14ac:dyDescent="0.25">
      <c r="A22" s="66"/>
      <c r="B22" s="66"/>
      <c r="C22" s="76"/>
      <c r="D22" s="77"/>
      <c r="E22" s="66"/>
      <c r="F22" s="66"/>
      <c r="G22" s="79"/>
      <c r="H22" s="31">
        <f t="shared" ref="H22:R22" si="17">IF($E22&lt;I$4,($G22*1.3)/4,0)</f>
        <v>0</v>
      </c>
      <c r="I22" s="33">
        <f t="shared" si="17"/>
        <v>0</v>
      </c>
      <c r="J22" s="33">
        <f t="shared" si="17"/>
        <v>0</v>
      </c>
      <c r="K22" s="33">
        <f t="shared" si="17"/>
        <v>0</v>
      </c>
      <c r="L22" s="33">
        <f t="shared" si="17"/>
        <v>0</v>
      </c>
      <c r="M22" s="33">
        <f t="shared" si="17"/>
        <v>0</v>
      </c>
      <c r="N22" s="33">
        <f t="shared" si="17"/>
        <v>0</v>
      </c>
      <c r="O22" s="33">
        <f t="shared" si="17"/>
        <v>0</v>
      </c>
      <c r="P22" s="33">
        <f t="shared" si="17"/>
        <v>0</v>
      </c>
      <c r="Q22" s="33">
        <f t="shared" si="17"/>
        <v>0</v>
      </c>
      <c r="R22" s="33">
        <f t="shared" si="17"/>
        <v>0</v>
      </c>
      <c r="S22" s="33">
        <f t="shared" si="1"/>
        <v>0</v>
      </c>
      <c r="T22" s="5"/>
    </row>
    <row r="23" spans="1:20" hidden="1" outlineLevel="1" x14ac:dyDescent="0.25">
      <c r="A23" s="66"/>
      <c r="B23" s="66"/>
      <c r="C23" s="76"/>
      <c r="D23" s="77"/>
      <c r="E23" s="66"/>
      <c r="F23" s="66"/>
      <c r="G23" s="79"/>
      <c r="H23" s="31">
        <f t="shared" ref="H23:R23" si="18">IF($E23&lt;I$4,($G23*1.3)/4,0)</f>
        <v>0</v>
      </c>
      <c r="I23" s="33">
        <f t="shared" si="18"/>
        <v>0</v>
      </c>
      <c r="J23" s="33">
        <f t="shared" si="18"/>
        <v>0</v>
      </c>
      <c r="K23" s="33">
        <f t="shared" si="18"/>
        <v>0</v>
      </c>
      <c r="L23" s="33">
        <f t="shared" si="18"/>
        <v>0</v>
      </c>
      <c r="M23" s="33">
        <f t="shared" si="18"/>
        <v>0</v>
      </c>
      <c r="N23" s="33">
        <f t="shared" si="18"/>
        <v>0</v>
      </c>
      <c r="O23" s="33">
        <f t="shared" si="18"/>
        <v>0</v>
      </c>
      <c r="P23" s="33">
        <f t="shared" si="18"/>
        <v>0</v>
      </c>
      <c r="Q23" s="33">
        <f t="shared" si="18"/>
        <v>0</v>
      </c>
      <c r="R23" s="33">
        <f t="shared" si="18"/>
        <v>0</v>
      </c>
      <c r="S23" s="33">
        <f t="shared" si="1"/>
        <v>0</v>
      </c>
      <c r="T23" s="5"/>
    </row>
    <row r="24" spans="1:20" hidden="1" outlineLevel="1" x14ac:dyDescent="0.25">
      <c r="A24" s="66"/>
      <c r="B24" s="66"/>
      <c r="C24" s="76"/>
      <c r="D24" s="77"/>
      <c r="E24" s="66"/>
      <c r="F24" s="66"/>
      <c r="G24" s="79"/>
      <c r="H24" s="31">
        <f t="shared" ref="H24:R24" si="19">IF($E24&lt;I$4,($G24*1.3)/4,0)</f>
        <v>0</v>
      </c>
      <c r="I24" s="33">
        <f t="shared" si="19"/>
        <v>0</v>
      </c>
      <c r="J24" s="33">
        <f t="shared" si="19"/>
        <v>0</v>
      </c>
      <c r="K24" s="33">
        <f t="shared" si="19"/>
        <v>0</v>
      </c>
      <c r="L24" s="33">
        <f t="shared" si="19"/>
        <v>0</v>
      </c>
      <c r="M24" s="33">
        <f t="shared" si="19"/>
        <v>0</v>
      </c>
      <c r="N24" s="33">
        <f t="shared" si="19"/>
        <v>0</v>
      </c>
      <c r="O24" s="33">
        <f t="shared" si="19"/>
        <v>0</v>
      </c>
      <c r="P24" s="33">
        <f t="shared" si="19"/>
        <v>0</v>
      </c>
      <c r="Q24" s="33">
        <f t="shared" si="19"/>
        <v>0</v>
      </c>
      <c r="R24" s="33">
        <f t="shared" si="19"/>
        <v>0</v>
      </c>
      <c r="S24" s="33">
        <f t="shared" si="1"/>
        <v>0</v>
      </c>
      <c r="T24" s="5"/>
    </row>
    <row r="25" spans="1:20" hidden="1" outlineLevel="1" x14ac:dyDescent="0.25">
      <c r="A25" s="50"/>
      <c r="B25" s="50"/>
      <c r="C25" s="50"/>
      <c r="D25" s="50"/>
      <c r="E25" s="50"/>
      <c r="F25" s="50"/>
      <c r="G25" s="50"/>
      <c r="H25" s="81">
        <f t="shared" ref="H25:S25" si="20">SUM(H6:H24)</f>
        <v>0</v>
      </c>
      <c r="I25" s="82">
        <f t="shared" si="20"/>
        <v>0</v>
      </c>
      <c r="J25" s="82">
        <f t="shared" si="20"/>
        <v>0</v>
      </c>
      <c r="K25" s="82">
        <f t="shared" si="20"/>
        <v>0</v>
      </c>
      <c r="L25" s="82">
        <f t="shared" si="20"/>
        <v>0</v>
      </c>
      <c r="M25" s="82">
        <f t="shared" si="20"/>
        <v>0</v>
      </c>
      <c r="N25" s="82">
        <f t="shared" si="20"/>
        <v>0</v>
      </c>
      <c r="O25" s="82">
        <f t="shared" si="20"/>
        <v>0</v>
      </c>
      <c r="P25" s="82">
        <f t="shared" si="20"/>
        <v>0</v>
      </c>
      <c r="Q25" s="82">
        <f t="shared" si="20"/>
        <v>0</v>
      </c>
      <c r="R25" s="82">
        <f t="shared" si="20"/>
        <v>0</v>
      </c>
      <c r="S25" s="82">
        <f t="shared" si="20"/>
        <v>0</v>
      </c>
      <c r="T25" s="5"/>
    </row>
    <row r="26" spans="1:20" collapsed="1" x14ac:dyDescent="0.25">
      <c r="B26" s="5"/>
      <c r="C26" s="5"/>
      <c r="D26" s="5"/>
      <c r="E26" s="5"/>
      <c r="F26" s="5"/>
      <c r="G26" s="5"/>
      <c r="H26" s="5"/>
      <c r="I26" s="5"/>
      <c r="J26" s="5"/>
      <c r="K26" s="5"/>
      <c r="L26" s="5"/>
      <c r="M26" s="5"/>
      <c r="N26" s="5"/>
      <c r="O26" s="5"/>
      <c r="P26" s="5"/>
      <c r="Q26" s="5"/>
      <c r="R26" s="5"/>
      <c r="S26" s="5"/>
    </row>
    <row r="27" spans="1:20" ht="18.75" x14ac:dyDescent="0.3">
      <c r="A27" s="7" t="s">
        <v>67</v>
      </c>
      <c r="B27" s="5"/>
      <c r="C27" s="5"/>
      <c r="D27" s="5"/>
      <c r="E27" s="5"/>
      <c r="F27" s="5"/>
      <c r="G27" s="5"/>
      <c r="H27" s="790">
        <v>2019</v>
      </c>
      <c r="I27" s="789"/>
      <c r="J27" s="787">
        <v>2020</v>
      </c>
      <c r="K27" s="788"/>
      <c r="L27" s="788"/>
      <c r="M27" s="789"/>
      <c r="N27" s="787">
        <v>2021</v>
      </c>
      <c r="O27" s="788"/>
      <c r="P27" s="788"/>
      <c r="Q27" s="789"/>
      <c r="R27" s="790">
        <v>2022</v>
      </c>
      <c r="S27" s="789"/>
    </row>
    <row r="28" spans="1:20" ht="30" x14ac:dyDescent="0.25">
      <c r="A28" s="54" t="s">
        <v>8</v>
      </c>
      <c r="B28" s="54" t="s">
        <v>11</v>
      </c>
      <c r="C28" s="54" t="s">
        <v>71</v>
      </c>
      <c r="D28" s="791" t="s">
        <v>72</v>
      </c>
      <c r="E28" s="792"/>
      <c r="F28" s="793"/>
      <c r="G28" s="55" t="s">
        <v>73</v>
      </c>
      <c r="H28" s="18" t="s">
        <v>10</v>
      </c>
      <c r="I28" s="20" t="s">
        <v>17</v>
      </c>
      <c r="J28" s="22" t="s">
        <v>18</v>
      </c>
      <c r="K28" s="18" t="s">
        <v>19</v>
      </c>
      <c r="L28" s="18" t="s">
        <v>10</v>
      </c>
      <c r="M28" s="20" t="s">
        <v>17</v>
      </c>
      <c r="N28" s="22" t="s">
        <v>18</v>
      </c>
      <c r="O28" s="18" t="s">
        <v>19</v>
      </c>
      <c r="P28" s="18" t="s">
        <v>10</v>
      </c>
      <c r="Q28" s="20" t="s">
        <v>17</v>
      </c>
      <c r="R28" s="22" t="s">
        <v>18</v>
      </c>
      <c r="S28" s="18" t="s">
        <v>19</v>
      </c>
    </row>
    <row r="29" spans="1:20" x14ac:dyDescent="0.25">
      <c r="A29" s="40" t="s">
        <v>84</v>
      </c>
      <c r="B29" s="40" t="s">
        <v>132</v>
      </c>
      <c r="C29" s="40" t="s">
        <v>133</v>
      </c>
      <c r="D29" s="794" t="s">
        <v>134</v>
      </c>
      <c r="E29" s="795"/>
      <c r="F29" s="796"/>
      <c r="G29" s="58">
        <f>SUM(I29:M29)</f>
        <v>68889</v>
      </c>
      <c r="H29" s="31"/>
      <c r="I29" s="31">
        <v>22963</v>
      </c>
      <c r="J29" s="31">
        <v>22963</v>
      </c>
      <c r="K29" s="31">
        <v>22963</v>
      </c>
      <c r="L29" s="31"/>
      <c r="M29" s="31"/>
      <c r="N29" s="57"/>
      <c r="O29" s="57"/>
      <c r="P29" s="57"/>
      <c r="Q29" s="57"/>
      <c r="R29" s="57"/>
      <c r="S29" s="57"/>
    </row>
    <row r="30" spans="1:20" x14ac:dyDescent="0.25">
      <c r="A30" s="40" t="s">
        <v>135</v>
      </c>
      <c r="B30" s="40" t="s">
        <v>136</v>
      </c>
      <c r="C30" s="40" t="s">
        <v>137</v>
      </c>
      <c r="D30" s="797" t="s">
        <v>138</v>
      </c>
      <c r="E30" s="795"/>
      <c r="F30" s="796"/>
      <c r="G30" s="58">
        <f>SUM(I30:O30)</f>
        <v>617904</v>
      </c>
      <c r="H30" s="56"/>
      <c r="I30" s="57"/>
      <c r="J30" s="57">
        <f t="shared" ref="J30:M30" si="21">(28*1839)*3</f>
        <v>154476</v>
      </c>
      <c r="K30" s="57">
        <f t="shared" si="21"/>
        <v>154476</v>
      </c>
      <c r="L30" s="57">
        <f t="shared" si="21"/>
        <v>154476</v>
      </c>
      <c r="M30" s="57">
        <f t="shared" si="21"/>
        <v>154476</v>
      </c>
      <c r="N30" s="57"/>
      <c r="O30" s="57"/>
      <c r="P30" s="57"/>
      <c r="Q30" s="57"/>
      <c r="R30" s="57"/>
      <c r="S30" s="57"/>
    </row>
    <row r="31" spans="1:20" x14ac:dyDescent="0.25">
      <c r="A31" s="40"/>
      <c r="B31" s="40"/>
      <c r="C31" s="40"/>
      <c r="D31" s="148"/>
      <c r="E31" s="149"/>
      <c r="F31" s="150"/>
      <c r="G31" s="58"/>
      <c r="H31" s="56"/>
      <c r="I31" s="59"/>
      <c r="J31" s="57"/>
      <c r="K31" s="57"/>
      <c r="L31" s="57"/>
      <c r="M31" s="57"/>
      <c r="N31" s="57"/>
      <c r="O31" s="57"/>
      <c r="P31" s="57"/>
      <c r="Q31" s="57"/>
      <c r="R31" s="57"/>
      <c r="S31" s="57"/>
    </row>
    <row r="32" spans="1:20" x14ac:dyDescent="0.25">
      <c r="A32" s="40"/>
      <c r="B32" s="40"/>
      <c r="C32" s="40"/>
      <c r="D32" s="794"/>
      <c r="E32" s="795"/>
      <c r="F32" s="796"/>
      <c r="G32" s="58"/>
      <c r="H32" s="56"/>
      <c r="I32" s="59"/>
      <c r="J32" s="57"/>
      <c r="K32" s="57"/>
      <c r="L32" s="57"/>
      <c r="M32" s="57"/>
      <c r="N32" s="57"/>
      <c r="O32" s="57"/>
      <c r="P32" s="57"/>
      <c r="Q32" s="57"/>
      <c r="R32" s="57"/>
      <c r="S32" s="57"/>
    </row>
    <row r="33" spans="1:19" x14ac:dyDescent="0.25">
      <c r="A33" s="40"/>
      <c r="B33" s="40"/>
      <c r="C33" s="40"/>
      <c r="D33" s="794"/>
      <c r="E33" s="795"/>
      <c r="F33" s="796"/>
      <c r="G33" s="58"/>
      <c r="H33" s="56"/>
      <c r="I33" s="59"/>
      <c r="J33" s="57"/>
      <c r="K33" s="57"/>
      <c r="L33" s="57"/>
      <c r="M33" s="57"/>
      <c r="N33" s="57"/>
      <c r="O33" s="57"/>
      <c r="P33" s="57"/>
      <c r="Q33" s="57"/>
      <c r="R33" s="57"/>
      <c r="S33" s="57"/>
    </row>
    <row r="34" spans="1:19" x14ac:dyDescent="0.25">
      <c r="A34" s="40"/>
      <c r="B34" s="40"/>
      <c r="C34" s="40"/>
      <c r="D34" s="794"/>
      <c r="E34" s="795"/>
      <c r="F34" s="796"/>
      <c r="G34" s="58"/>
      <c r="H34" s="56"/>
      <c r="I34" s="59"/>
      <c r="J34" s="57"/>
      <c r="K34" s="57"/>
      <c r="L34" s="57"/>
      <c r="M34" s="57"/>
      <c r="N34" s="57"/>
      <c r="O34" s="57"/>
      <c r="P34" s="57"/>
      <c r="Q34" s="57"/>
      <c r="R34" s="57"/>
      <c r="S34" s="57"/>
    </row>
    <row r="35" spans="1:19" x14ac:dyDescent="0.25">
      <c r="A35" s="40"/>
      <c r="B35" s="40"/>
      <c r="C35" s="60"/>
      <c r="D35" s="794"/>
      <c r="E35" s="795"/>
      <c r="F35" s="796"/>
      <c r="G35" s="58"/>
      <c r="H35" s="63"/>
      <c r="I35" s="57"/>
      <c r="J35" s="57"/>
      <c r="K35" s="57"/>
      <c r="L35" s="57"/>
      <c r="M35" s="57"/>
      <c r="N35" s="57"/>
      <c r="O35" s="57"/>
      <c r="P35" s="57"/>
      <c r="Q35" s="57"/>
      <c r="R35" s="57"/>
      <c r="S35" s="57"/>
    </row>
    <row r="36" spans="1:19" x14ac:dyDescent="0.25">
      <c r="A36" s="40"/>
      <c r="B36" s="40"/>
      <c r="C36" s="60"/>
      <c r="D36" s="794"/>
      <c r="E36" s="795"/>
      <c r="F36" s="796"/>
      <c r="G36" s="58"/>
      <c r="H36" s="63"/>
      <c r="I36" s="57"/>
      <c r="J36" s="57"/>
      <c r="K36" s="57"/>
      <c r="L36" s="57"/>
      <c r="M36" s="57"/>
      <c r="N36" s="57"/>
      <c r="O36" s="57"/>
      <c r="P36" s="57"/>
      <c r="Q36" s="57"/>
      <c r="R36" s="57"/>
      <c r="S36" s="57"/>
    </row>
    <row r="37" spans="1:19" x14ac:dyDescent="0.25">
      <c r="A37" s="40"/>
      <c r="B37" s="40"/>
      <c r="C37" s="60"/>
      <c r="D37" s="794"/>
      <c r="E37" s="795"/>
      <c r="F37" s="796"/>
      <c r="G37" s="58"/>
      <c r="H37" s="63"/>
      <c r="I37" s="57"/>
      <c r="J37" s="57"/>
      <c r="K37" s="57"/>
      <c r="L37" s="57"/>
      <c r="M37" s="57"/>
      <c r="N37" s="57"/>
      <c r="O37" s="57"/>
      <c r="P37" s="57"/>
      <c r="Q37" s="57"/>
      <c r="R37" s="57"/>
      <c r="S37" s="57"/>
    </row>
    <row r="38" spans="1:19" x14ac:dyDescent="0.25">
      <c r="A38" s="40"/>
      <c r="B38" s="40"/>
      <c r="C38" s="40"/>
      <c r="D38" s="794"/>
      <c r="E38" s="795"/>
      <c r="F38" s="796"/>
      <c r="G38" s="58"/>
      <c r="H38" s="63"/>
      <c r="I38" s="57"/>
      <c r="J38" s="57"/>
      <c r="K38" s="57"/>
      <c r="L38" s="57"/>
      <c r="M38" s="57"/>
      <c r="N38" s="57"/>
      <c r="O38" s="57"/>
      <c r="P38" s="57"/>
      <c r="Q38" s="57"/>
      <c r="R38" s="57"/>
      <c r="S38" s="57"/>
    </row>
    <row r="39" spans="1:19" x14ac:dyDescent="0.25">
      <c r="A39" s="66"/>
      <c r="B39" s="40"/>
      <c r="C39" s="40"/>
      <c r="D39" s="794"/>
      <c r="E39" s="795"/>
      <c r="F39" s="796"/>
      <c r="G39" s="68"/>
      <c r="H39" s="69"/>
      <c r="I39" s="70"/>
      <c r="J39" s="70"/>
      <c r="K39" s="70"/>
      <c r="L39" s="70"/>
      <c r="M39" s="70"/>
      <c r="N39" s="70"/>
      <c r="O39" s="70"/>
      <c r="P39" s="70"/>
      <c r="Q39" s="70"/>
      <c r="R39" s="70"/>
      <c r="S39" s="70"/>
    </row>
    <row r="40" spans="1:19" x14ac:dyDescent="0.25">
      <c r="A40" s="66"/>
      <c r="B40" s="66"/>
      <c r="C40" s="66"/>
      <c r="D40" s="794"/>
      <c r="E40" s="795"/>
      <c r="F40" s="796"/>
      <c r="G40" s="72"/>
      <c r="H40" s="74"/>
      <c r="I40" s="75"/>
      <c r="J40" s="75"/>
      <c r="K40" s="75"/>
      <c r="L40" s="75"/>
      <c r="M40" s="75"/>
      <c r="N40" s="75"/>
      <c r="O40" s="75"/>
      <c r="P40" s="75"/>
      <c r="Q40" s="75"/>
      <c r="R40" s="75"/>
      <c r="S40" s="75"/>
    </row>
    <row r="41" spans="1:19" x14ac:dyDescent="0.25">
      <c r="G41" s="108">
        <f>SUM(G29:G40)</f>
        <v>686793</v>
      </c>
      <c r="H41" s="109">
        <f t="shared" ref="H41:S41" si="22">SUM(H29:H34)</f>
        <v>0</v>
      </c>
      <c r="I41" s="108">
        <f t="shared" si="22"/>
        <v>22963</v>
      </c>
      <c r="J41" s="108">
        <f t="shared" si="22"/>
        <v>177439</v>
      </c>
      <c r="K41" s="108">
        <f t="shared" si="22"/>
        <v>177439</v>
      </c>
      <c r="L41" s="108">
        <f t="shared" si="22"/>
        <v>154476</v>
      </c>
      <c r="M41" s="108">
        <f t="shared" si="22"/>
        <v>154476</v>
      </c>
      <c r="N41" s="108">
        <f t="shared" si="22"/>
        <v>0</v>
      </c>
      <c r="O41" s="108">
        <f t="shared" si="22"/>
        <v>0</v>
      </c>
      <c r="P41" s="108">
        <f t="shared" si="22"/>
        <v>0</v>
      </c>
      <c r="Q41" s="108">
        <f t="shared" si="22"/>
        <v>0</v>
      </c>
      <c r="R41" s="108">
        <f t="shared" si="22"/>
        <v>0</v>
      </c>
      <c r="S41" s="108">
        <f t="shared" si="22"/>
        <v>0</v>
      </c>
    </row>
  </sheetData>
  <mergeCells count="20">
    <mergeCell ref="D32:F32"/>
    <mergeCell ref="D29:F29"/>
    <mergeCell ref="D28:F28"/>
    <mergeCell ref="D30:F30"/>
    <mergeCell ref="D35:F35"/>
    <mergeCell ref="D34:F34"/>
    <mergeCell ref="D33:F33"/>
    <mergeCell ref="D37:F37"/>
    <mergeCell ref="D36:F36"/>
    <mergeCell ref="D39:F39"/>
    <mergeCell ref="D40:F40"/>
    <mergeCell ref="D38:F38"/>
    <mergeCell ref="N3:Q3"/>
    <mergeCell ref="R3:S3"/>
    <mergeCell ref="J3:M3"/>
    <mergeCell ref="H3:I3"/>
    <mergeCell ref="J27:M27"/>
    <mergeCell ref="N27:Q27"/>
    <mergeCell ref="R27:S27"/>
    <mergeCell ref="H27:I27"/>
  </mergeCells>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41"/>
  <sheetViews>
    <sheetView showGridLines="0" zoomScale="70" zoomScaleNormal="70" workbookViewId="0">
      <selection activeCell="D29" sqref="D29:F29"/>
    </sheetView>
  </sheetViews>
  <sheetFormatPr defaultColWidth="14.42578125" defaultRowHeight="15" customHeight="1" outlineLevelRow="2" x14ac:dyDescent="0.25"/>
  <cols>
    <col min="1" max="1" width="17.42578125" customWidth="1"/>
    <col min="2" max="2" width="29.140625" customWidth="1"/>
    <col min="3" max="3" width="20.85546875" customWidth="1"/>
    <col min="4" max="4" width="20.7109375" customWidth="1"/>
    <col min="5" max="6" width="17.140625" customWidth="1"/>
    <col min="7" max="7" width="17.28515625" customWidth="1"/>
    <col min="8" max="19" width="9.85546875" customWidth="1"/>
    <col min="20" max="20" width="7.85546875" customWidth="1"/>
    <col min="21" max="27" width="15.85546875" customWidth="1"/>
  </cols>
  <sheetData>
    <row r="1" spans="1:20" ht="23.25" x14ac:dyDescent="0.35">
      <c r="A1" s="1" t="s">
        <v>2</v>
      </c>
    </row>
    <row r="2" spans="1:20" x14ac:dyDescent="0.25">
      <c r="I2" s="5"/>
      <c r="J2" s="6"/>
      <c r="K2" s="5"/>
      <c r="L2" s="5"/>
      <c r="M2" s="5"/>
      <c r="N2" s="6"/>
      <c r="O2" s="5"/>
      <c r="P2" s="5"/>
      <c r="Q2" s="5"/>
      <c r="R2" s="6"/>
      <c r="S2" s="5"/>
      <c r="T2" s="5"/>
    </row>
    <row r="3" spans="1:20" ht="18.75" hidden="1" outlineLevel="1" x14ac:dyDescent="0.3">
      <c r="A3" s="7" t="s">
        <v>4</v>
      </c>
      <c r="H3" s="790">
        <v>2019</v>
      </c>
      <c r="I3" s="789"/>
      <c r="J3" s="787">
        <v>2020</v>
      </c>
      <c r="K3" s="788"/>
      <c r="L3" s="788"/>
      <c r="M3" s="789"/>
      <c r="N3" s="787">
        <v>2021</v>
      </c>
      <c r="O3" s="788"/>
      <c r="P3" s="788"/>
      <c r="Q3" s="789"/>
      <c r="R3" s="790">
        <v>2022</v>
      </c>
      <c r="S3" s="789"/>
      <c r="T3" s="5"/>
    </row>
    <row r="4" spans="1:20" hidden="1" outlineLevel="2" x14ac:dyDescent="0.25">
      <c r="A4" s="8"/>
      <c r="B4" s="8"/>
      <c r="C4" s="8"/>
      <c r="D4" s="11"/>
      <c r="E4" s="8"/>
      <c r="F4" s="8"/>
      <c r="G4" s="11"/>
      <c r="H4" s="13">
        <v>43647</v>
      </c>
      <c r="I4" s="13">
        <v>43739</v>
      </c>
      <c r="J4" s="13">
        <v>43831</v>
      </c>
      <c r="K4" s="13">
        <v>43922</v>
      </c>
      <c r="L4" s="13">
        <v>44013</v>
      </c>
      <c r="M4" s="13">
        <v>44105</v>
      </c>
      <c r="N4" s="13">
        <v>44197</v>
      </c>
      <c r="O4" s="13">
        <v>44287</v>
      </c>
      <c r="P4" s="13">
        <v>44378</v>
      </c>
      <c r="Q4" s="13">
        <v>44470</v>
      </c>
      <c r="R4" s="13">
        <v>44562</v>
      </c>
      <c r="S4" s="13">
        <v>44652</v>
      </c>
      <c r="T4" s="5"/>
    </row>
    <row r="5" spans="1:20" ht="30" hidden="1" outlineLevel="1" collapsed="1" x14ac:dyDescent="0.25">
      <c r="A5" s="15" t="s">
        <v>8</v>
      </c>
      <c r="B5" s="15" t="s">
        <v>11</v>
      </c>
      <c r="C5" s="15" t="s">
        <v>12</v>
      </c>
      <c r="D5" s="16" t="s">
        <v>13</v>
      </c>
      <c r="E5" s="17" t="s">
        <v>14</v>
      </c>
      <c r="F5" s="17" t="s">
        <v>15</v>
      </c>
      <c r="G5" s="16" t="s">
        <v>16</v>
      </c>
      <c r="H5" s="19" t="s">
        <v>10</v>
      </c>
      <c r="I5" s="21" t="s">
        <v>17</v>
      </c>
      <c r="J5" s="23" t="s">
        <v>18</v>
      </c>
      <c r="K5" s="25" t="s">
        <v>19</v>
      </c>
      <c r="L5" s="25" t="s">
        <v>10</v>
      </c>
      <c r="M5" s="21" t="s">
        <v>17</v>
      </c>
      <c r="N5" s="23" t="s">
        <v>18</v>
      </c>
      <c r="O5" s="25" t="s">
        <v>19</v>
      </c>
      <c r="P5" s="25" t="s">
        <v>10</v>
      </c>
      <c r="Q5" s="21" t="s">
        <v>17</v>
      </c>
      <c r="R5" s="23" t="s">
        <v>18</v>
      </c>
      <c r="S5" s="25" t="s">
        <v>19</v>
      </c>
      <c r="T5" s="5"/>
    </row>
    <row r="6" spans="1:20" hidden="1" outlineLevel="1" x14ac:dyDescent="0.25">
      <c r="A6" s="151" t="s">
        <v>139</v>
      </c>
      <c r="B6" s="27"/>
      <c r="C6" s="30"/>
      <c r="D6" s="27"/>
      <c r="E6" s="37"/>
      <c r="F6" s="27"/>
      <c r="G6" s="39">
        <v>0</v>
      </c>
      <c r="H6" s="31">
        <f t="shared" ref="H6:R6" si="0">IF($E6&lt;I$4,($G6*1.3)/4,0)</f>
        <v>0</v>
      </c>
      <c r="I6" s="33">
        <f t="shared" si="0"/>
        <v>0</v>
      </c>
      <c r="J6" s="33">
        <f t="shared" si="0"/>
        <v>0</v>
      </c>
      <c r="K6" s="33">
        <f t="shared" si="0"/>
        <v>0</v>
      </c>
      <c r="L6" s="33">
        <f t="shared" si="0"/>
        <v>0</v>
      </c>
      <c r="M6" s="33">
        <f t="shared" si="0"/>
        <v>0</v>
      </c>
      <c r="N6" s="33">
        <f t="shared" si="0"/>
        <v>0</v>
      </c>
      <c r="O6" s="33">
        <f t="shared" si="0"/>
        <v>0</v>
      </c>
      <c r="P6" s="33">
        <f t="shared" si="0"/>
        <v>0</v>
      </c>
      <c r="Q6" s="33">
        <f t="shared" si="0"/>
        <v>0</v>
      </c>
      <c r="R6" s="33">
        <f t="shared" si="0"/>
        <v>0</v>
      </c>
      <c r="S6" s="33">
        <f t="shared" ref="S6:S24" si="1">IF($E6&lt;S$4,($G6*1.3)/4,0)</f>
        <v>0</v>
      </c>
      <c r="T6" s="5"/>
    </row>
    <row r="7" spans="1:20" hidden="1" outlineLevel="1" x14ac:dyDescent="0.25">
      <c r="A7" s="40"/>
      <c r="B7" s="40"/>
      <c r="C7" s="35"/>
      <c r="D7" s="40"/>
      <c r="E7" s="42"/>
      <c r="F7" s="43"/>
      <c r="G7" s="44"/>
      <c r="H7" s="31">
        <f t="shared" ref="H7:R7" si="2">IF($E7&lt;I$4,($G7*1.3)/4,0)</f>
        <v>0</v>
      </c>
      <c r="I7" s="33">
        <f t="shared" si="2"/>
        <v>0</v>
      </c>
      <c r="J7" s="33">
        <f t="shared" si="2"/>
        <v>0</v>
      </c>
      <c r="K7" s="33">
        <f t="shared" si="2"/>
        <v>0</v>
      </c>
      <c r="L7" s="33">
        <f t="shared" si="2"/>
        <v>0</v>
      </c>
      <c r="M7" s="33">
        <f t="shared" si="2"/>
        <v>0</v>
      </c>
      <c r="N7" s="33">
        <f t="shared" si="2"/>
        <v>0</v>
      </c>
      <c r="O7" s="33">
        <f t="shared" si="2"/>
        <v>0</v>
      </c>
      <c r="P7" s="33">
        <f t="shared" si="2"/>
        <v>0</v>
      </c>
      <c r="Q7" s="33">
        <f t="shared" si="2"/>
        <v>0</v>
      </c>
      <c r="R7" s="33">
        <f t="shared" si="2"/>
        <v>0</v>
      </c>
      <c r="S7" s="33">
        <f t="shared" si="1"/>
        <v>0</v>
      </c>
      <c r="T7" s="5"/>
    </row>
    <row r="8" spans="1:20" hidden="1" outlineLevel="1" x14ac:dyDescent="0.25">
      <c r="A8" s="40"/>
      <c r="B8" s="40"/>
      <c r="C8" s="35"/>
      <c r="D8" s="40"/>
      <c r="E8" s="42"/>
      <c r="F8" s="43"/>
      <c r="G8" s="44"/>
      <c r="H8" s="31">
        <f t="shared" ref="H8:R8" si="3">IF($E8&lt;I$4,($G8*1.3)/4,0)</f>
        <v>0</v>
      </c>
      <c r="I8" s="33">
        <f t="shared" si="3"/>
        <v>0</v>
      </c>
      <c r="J8" s="33">
        <f t="shared" si="3"/>
        <v>0</v>
      </c>
      <c r="K8" s="33">
        <f t="shared" si="3"/>
        <v>0</v>
      </c>
      <c r="L8" s="33">
        <f t="shared" si="3"/>
        <v>0</v>
      </c>
      <c r="M8" s="33">
        <f t="shared" si="3"/>
        <v>0</v>
      </c>
      <c r="N8" s="33">
        <f t="shared" si="3"/>
        <v>0</v>
      </c>
      <c r="O8" s="33">
        <f t="shared" si="3"/>
        <v>0</v>
      </c>
      <c r="P8" s="33">
        <f t="shared" si="3"/>
        <v>0</v>
      </c>
      <c r="Q8" s="33">
        <f t="shared" si="3"/>
        <v>0</v>
      </c>
      <c r="R8" s="33">
        <f t="shared" si="3"/>
        <v>0</v>
      </c>
      <c r="S8" s="33">
        <f t="shared" si="1"/>
        <v>0</v>
      </c>
      <c r="T8" s="5"/>
    </row>
    <row r="9" spans="1:20" hidden="1" outlineLevel="1" x14ac:dyDescent="0.25">
      <c r="A9" s="40"/>
      <c r="B9" s="40"/>
      <c r="C9" s="35"/>
      <c r="D9" s="40"/>
      <c r="E9" s="42"/>
      <c r="F9" s="43"/>
      <c r="G9" s="44"/>
      <c r="H9" s="31">
        <f t="shared" ref="H9:R9" si="4">IF($E9&lt;I$4,($G9*1.3)/4,0)</f>
        <v>0</v>
      </c>
      <c r="I9" s="33">
        <f t="shared" si="4"/>
        <v>0</v>
      </c>
      <c r="J9" s="33">
        <f t="shared" si="4"/>
        <v>0</v>
      </c>
      <c r="K9" s="33">
        <f t="shared" si="4"/>
        <v>0</v>
      </c>
      <c r="L9" s="33">
        <f t="shared" si="4"/>
        <v>0</v>
      </c>
      <c r="M9" s="33">
        <f t="shared" si="4"/>
        <v>0</v>
      </c>
      <c r="N9" s="33">
        <f t="shared" si="4"/>
        <v>0</v>
      </c>
      <c r="O9" s="33">
        <f t="shared" si="4"/>
        <v>0</v>
      </c>
      <c r="P9" s="33">
        <f t="shared" si="4"/>
        <v>0</v>
      </c>
      <c r="Q9" s="33">
        <f t="shared" si="4"/>
        <v>0</v>
      </c>
      <c r="R9" s="33">
        <f t="shared" si="4"/>
        <v>0</v>
      </c>
      <c r="S9" s="33">
        <f t="shared" si="1"/>
        <v>0</v>
      </c>
      <c r="T9" s="5"/>
    </row>
    <row r="10" spans="1:20" hidden="1" outlineLevel="1" x14ac:dyDescent="0.25">
      <c r="A10" s="40"/>
      <c r="B10" s="40"/>
      <c r="C10" s="35"/>
      <c r="D10" s="40"/>
      <c r="E10" s="42"/>
      <c r="F10" s="43"/>
      <c r="G10" s="44"/>
      <c r="H10" s="31">
        <f t="shared" ref="H10:R10" si="5">IF($E10&lt;I$4,($G10*1.3)/4,0)</f>
        <v>0</v>
      </c>
      <c r="I10" s="33">
        <f t="shared" si="5"/>
        <v>0</v>
      </c>
      <c r="J10" s="33">
        <f t="shared" si="5"/>
        <v>0</v>
      </c>
      <c r="K10" s="33">
        <f t="shared" si="5"/>
        <v>0</v>
      </c>
      <c r="L10" s="33">
        <f t="shared" si="5"/>
        <v>0</v>
      </c>
      <c r="M10" s="33">
        <f t="shared" si="5"/>
        <v>0</v>
      </c>
      <c r="N10" s="33">
        <f t="shared" si="5"/>
        <v>0</v>
      </c>
      <c r="O10" s="33">
        <f t="shared" si="5"/>
        <v>0</v>
      </c>
      <c r="P10" s="33">
        <f t="shared" si="5"/>
        <v>0</v>
      </c>
      <c r="Q10" s="33">
        <f t="shared" si="5"/>
        <v>0</v>
      </c>
      <c r="R10" s="33">
        <f t="shared" si="5"/>
        <v>0</v>
      </c>
      <c r="S10" s="33">
        <f t="shared" si="1"/>
        <v>0</v>
      </c>
      <c r="T10" s="5"/>
    </row>
    <row r="11" spans="1:20" hidden="1" outlineLevel="1" x14ac:dyDescent="0.25">
      <c r="A11" s="40"/>
      <c r="B11" s="40"/>
      <c r="C11" s="35"/>
      <c r="D11" s="40"/>
      <c r="E11" s="42"/>
      <c r="F11" s="43"/>
      <c r="G11" s="44"/>
      <c r="H11" s="31">
        <f t="shared" ref="H11:R11" si="6">IF($E11&lt;I$4,($G11*1.3)/4,0)</f>
        <v>0</v>
      </c>
      <c r="I11" s="33">
        <f t="shared" si="6"/>
        <v>0</v>
      </c>
      <c r="J11" s="33">
        <f t="shared" si="6"/>
        <v>0</v>
      </c>
      <c r="K11" s="33">
        <f t="shared" si="6"/>
        <v>0</v>
      </c>
      <c r="L11" s="33">
        <f t="shared" si="6"/>
        <v>0</v>
      </c>
      <c r="M11" s="33">
        <f t="shared" si="6"/>
        <v>0</v>
      </c>
      <c r="N11" s="33">
        <f t="shared" si="6"/>
        <v>0</v>
      </c>
      <c r="O11" s="33">
        <f t="shared" si="6"/>
        <v>0</v>
      </c>
      <c r="P11" s="33">
        <f t="shared" si="6"/>
        <v>0</v>
      </c>
      <c r="Q11" s="33">
        <f t="shared" si="6"/>
        <v>0</v>
      </c>
      <c r="R11" s="33">
        <f t="shared" si="6"/>
        <v>0</v>
      </c>
      <c r="S11" s="33">
        <f t="shared" si="1"/>
        <v>0</v>
      </c>
      <c r="T11" s="5"/>
    </row>
    <row r="12" spans="1:20" hidden="1" outlineLevel="1" x14ac:dyDescent="0.25">
      <c r="A12" s="40"/>
      <c r="B12" s="40"/>
      <c r="C12" s="35"/>
      <c r="D12" s="40"/>
      <c r="E12" s="42"/>
      <c r="F12" s="43"/>
      <c r="G12" s="44"/>
      <c r="H12" s="31">
        <f t="shared" ref="H12:R12" si="7">IF($E12&lt;I$4,($G12*1.3)/4,0)</f>
        <v>0</v>
      </c>
      <c r="I12" s="33">
        <f t="shared" si="7"/>
        <v>0</v>
      </c>
      <c r="J12" s="33">
        <f t="shared" si="7"/>
        <v>0</v>
      </c>
      <c r="K12" s="33">
        <f t="shared" si="7"/>
        <v>0</v>
      </c>
      <c r="L12" s="33">
        <f t="shared" si="7"/>
        <v>0</v>
      </c>
      <c r="M12" s="33">
        <f t="shared" si="7"/>
        <v>0</v>
      </c>
      <c r="N12" s="33">
        <f t="shared" si="7"/>
        <v>0</v>
      </c>
      <c r="O12" s="33">
        <f t="shared" si="7"/>
        <v>0</v>
      </c>
      <c r="P12" s="33">
        <f t="shared" si="7"/>
        <v>0</v>
      </c>
      <c r="Q12" s="33">
        <f t="shared" si="7"/>
        <v>0</v>
      </c>
      <c r="R12" s="33">
        <f t="shared" si="7"/>
        <v>0</v>
      </c>
      <c r="S12" s="33">
        <f t="shared" si="1"/>
        <v>0</v>
      </c>
      <c r="T12" s="5"/>
    </row>
    <row r="13" spans="1:20" hidden="1" outlineLevel="1" x14ac:dyDescent="0.25">
      <c r="A13" s="40"/>
      <c r="B13" s="40"/>
      <c r="C13" s="35"/>
      <c r="D13" s="40"/>
      <c r="E13" s="42"/>
      <c r="F13" s="43"/>
      <c r="G13" s="44"/>
      <c r="H13" s="31">
        <f t="shared" ref="H13:R13" si="8">IF($E13&lt;I$4,($G13*1.3)/4,0)</f>
        <v>0</v>
      </c>
      <c r="I13" s="33">
        <f t="shared" si="8"/>
        <v>0</v>
      </c>
      <c r="J13" s="33">
        <f t="shared" si="8"/>
        <v>0</v>
      </c>
      <c r="K13" s="33">
        <f t="shared" si="8"/>
        <v>0</v>
      </c>
      <c r="L13" s="33">
        <f t="shared" si="8"/>
        <v>0</v>
      </c>
      <c r="M13" s="33">
        <f t="shared" si="8"/>
        <v>0</v>
      </c>
      <c r="N13" s="33">
        <f t="shared" si="8"/>
        <v>0</v>
      </c>
      <c r="O13" s="33">
        <f t="shared" si="8"/>
        <v>0</v>
      </c>
      <c r="P13" s="33">
        <f t="shared" si="8"/>
        <v>0</v>
      </c>
      <c r="Q13" s="33">
        <f t="shared" si="8"/>
        <v>0</v>
      </c>
      <c r="R13" s="33">
        <f t="shared" si="8"/>
        <v>0</v>
      </c>
      <c r="S13" s="33">
        <f t="shared" si="1"/>
        <v>0</v>
      </c>
      <c r="T13" s="5"/>
    </row>
    <row r="14" spans="1:20" hidden="1" outlineLevel="1" x14ac:dyDescent="0.25">
      <c r="A14" s="40"/>
      <c r="B14" s="40"/>
      <c r="C14" s="35"/>
      <c r="D14" s="40"/>
      <c r="E14" s="42"/>
      <c r="F14" s="43"/>
      <c r="G14" s="44"/>
      <c r="H14" s="31">
        <f t="shared" ref="H14:R14" si="9">IF($E14&lt;I$4,($G14*1.3)/4,0)</f>
        <v>0</v>
      </c>
      <c r="I14" s="33">
        <f t="shared" si="9"/>
        <v>0</v>
      </c>
      <c r="J14" s="33">
        <f t="shared" si="9"/>
        <v>0</v>
      </c>
      <c r="K14" s="33">
        <f t="shared" si="9"/>
        <v>0</v>
      </c>
      <c r="L14" s="33">
        <f t="shared" si="9"/>
        <v>0</v>
      </c>
      <c r="M14" s="33">
        <f t="shared" si="9"/>
        <v>0</v>
      </c>
      <c r="N14" s="33">
        <f t="shared" si="9"/>
        <v>0</v>
      </c>
      <c r="O14" s="33">
        <f t="shared" si="9"/>
        <v>0</v>
      </c>
      <c r="P14" s="33">
        <f t="shared" si="9"/>
        <v>0</v>
      </c>
      <c r="Q14" s="33">
        <f t="shared" si="9"/>
        <v>0</v>
      </c>
      <c r="R14" s="33">
        <f t="shared" si="9"/>
        <v>0</v>
      </c>
      <c r="S14" s="33">
        <f t="shared" si="1"/>
        <v>0</v>
      </c>
      <c r="T14" s="5"/>
    </row>
    <row r="15" spans="1:20" hidden="1" outlineLevel="1" x14ac:dyDescent="0.25">
      <c r="A15" s="40"/>
      <c r="B15" s="40"/>
      <c r="C15" s="35"/>
      <c r="D15" s="40"/>
      <c r="E15" s="42"/>
      <c r="F15" s="43"/>
      <c r="G15" s="44"/>
      <c r="H15" s="31">
        <f t="shared" ref="H15:R15" si="10">IF($E15&lt;I$4,($G15*1.3)/4,0)</f>
        <v>0</v>
      </c>
      <c r="I15" s="33">
        <f t="shared" si="10"/>
        <v>0</v>
      </c>
      <c r="J15" s="33">
        <f t="shared" si="10"/>
        <v>0</v>
      </c>
      <c r="K15" s="33">
        <f t="shared" si="10"/>
        <v>0</v>
      </c>
      <c r="L15" s="33">
        <f t="shared" si="10"/>
        <v>0</v>
      </c>
      <c r="M15" s="33">
        <f t="shared" si="10"/>
        <v>0</v>
      </c>
      <c r="N15" s="33">
        <f t="shared" si="10"/>
        <v>0</v>
      </c>
      <c r="O15" s="33">
        <f t="shared" si="10"/>
        <v>0</v>
      </c>
      <c r="P15" s="33">
        <f t="shared" si="10"/>
        <v>0</v>
      </c>
      <c r="Q15" s="33">
        <f t="shared" si="10"/>
        <v>0</v>
      </c>
      <c r="R15" s="33">
        <f t="shared" si="10"/>
        <v>0</v>
      </c>
      <c r="S15" s="33">
        <f t="shared" si="1"/>
        <v>0</v>
      </c>
      <c r="T15" s="5"/>
    </row>
    <row r="16" spans="1:20" hidden="1" outlineLevel="1" x14ac:dyDescent="0.25">
      <c r="A16" s="40"/>
      <c r="B16" s="40"/>
      <c r="C16" s="35"/>
      <c r="D16" s="40"/>
      <c r="E16" s="42"/>
      <c r="F16" s="43"/>
      <c r="G16" s="44"/>
      <c r="H16" s="31">
        <f t="shared" ref="H16:R16" si="11">IF($E16&lt;I$4,($G16*1.3)/4,0)</f>
        <v>0</v>
      </c>
      <c r="I16" s="33">
        <f t="shared" si="11"/>
        <v>0</v>
      </c>
      <c r="J16" s="33">
        <f t="shared" si="11"/>
        <v>0</v>
      </c>
      <c r="K16" s="33">
        <f t="shared" si="11"/>
        <v>0</v>
      </c>
      <c r="L16" s="33">
        <f t="shared" si="11"/>
        <v>0</v>
      </c>
      <c r="M16" s="33">
        <f t="shared" si="11"/>
        <v>0</v>
      </c>
      <c r="N16" s="33">
        <f t="shared" si="11"/>
        <v>0</v>
      </c>
      <c r="O16" s="33">
        <f t="shared" si="11"/>
        <v>0</v>
      </c>
      <c r="P16" s="33">
        <f t="shared" si="11"/>
        <v>0</v>
      </c>
      <c r="Q16" s="33">
        <f t="shared" si="11"/>
        <v>0</v>
      </c>
      <c r="R16" s="33">
        <f t="shared" si="11"/>
        <v>0</v>
      </c>
      <c r="S16" s="33">
        <f t="shared" si="1"/>
        <v>0</v>
      </c>
      <c r="T16" s="5"/>
    </row>
    <row r="17" spans="1:20" hidden="1" outlineLevel="1" x14ac:dyDescent="0.25">
      <c r="A17" s="40"/>
      <c r="B17" s="40"/>
      <c r="C17" s="35"/>
      <c r="D17" s="40"/>
      <c r="E17" s="40"/>
      <c r="F17" s="43"/>
      <c r="G17" s="44"/>
      <c r="H17" s="31">
        <f t="shared" ref="H17:R17" si="12">IF($E17&lt;I$4,($G17*1.3)/4,0)</f>
        <v>0</v>
      </c>
      <c r="I17" s="33">
        <f t="shared" si="12"/>
        <v>0</v>
      </c>
      <c r="J17" s="33">
        <f t="shared" si="12"/>
        <v>0</v>
      </c>
      <c r="K17" s="33">
        <f t="shared" si="12"/>
        <v>0</v>
      </c>
      <c r="L17" s="33">
        <f t="shared" si="12"/>
        <v>0</v>
      </c>
      <c r="M17" s="33">
        <f t="shared" si="12"/>
        <v>0</v>
      </c>
      <c r="N17" s="33">
        <f t="shared" si="12"/>
        <v>0</v>
      </c>
      <c r="O17" s="33">
        <f t="shared" si="12"/>
        <v>0</v>
      </c>
      <c r="P17" s="33">
        <f t="shared" si="12"/>
        <v>0</v>
      </c>
      <c r="Q17" s="33">
        <f t="shared" si="12"/>
        <v>0</v>
      </c>
      <c r="R17" s="33">
        <f t="shared" si="12"/>
        <v>0</v>
      </c>
      <c r="S17" s="33">
        <f t="shared" si="1"/>
        <v>0</v>
      </c>
      <c r="T17" s="5"/>
    </row>
    <row r="18" spans="1:20" hidden="1" outlineLevel="1" x14ac:dyDescent="0.25">
      <c r="A18" s="40"/>
      <c r="B18" s="40"/>
      <c r="C18" s="35"/>
      <c r="D18" s="40"/>
      <c r="E18" s="40"/>
      <c r="F18" s="43"/>
      <c r="G18" s="44"/>
      <c r="H18" s="31">
        <f t="shared" ref="H18:R18" si="13">IF($E18&lt;I$4,($G18*1.3)/4,0)</f>
        <v>0</v>
      </c>
      <c r="I18" s="33">
        <f t="shared" si="13"/>
        <v>0</v>
      </c>
      <c r="J18" s="33">
        <f t="shared" si="13"/>
        <v>0</v>
      </c>
      <c r="K18" s="33">
        <f t="shared" si="13"/>
        <v>0</v>
      </c>
      <c r="L18" s="33">
        <f t="shared" si="13"/>
        <v>0</v>
      </c>
      <c r="M18" s="33">
        <f t="shared" si="13"/>
        <v>0</v>
      </c>
      <c r="N18" s="33">
        <f t="shared" si="13"/>
        <v>0</v>
      </c>
      <c r="O18" s="33">
        <f t="shared" si="13"/>
        <v>0</v>
      </c>
      <c r="P18" s="33">
        <f t="shared" si="13"/>
        <v>0</v>
      </c>
      <c r="Q18" s="33">
        <f t="shared" si="13"/>
        <v>0</v>
      </c>
      <c r="R18" s="33">
        <f t="shared" si="13"/>
        <v>0</v>
      </c>
      <c r="S18" s="33">
        <f t="shared" si="1"/>
        <v>0</v>
      </c>
      <c r="T18" s="5"/>
    </row>
    <row r="19" spans="1:20" hidden="1" outlineLevel="1" x14ac:dyDescent="0.25">
      <c r="A19" s="40"/>
      <c r="B19" s="40"/>
      <c r="C19" s="35"/>
      <c r="D19" s="40"/>
      <c r="E19" s="40"/>
      <c r="F19" s="43"/>
      <c r="G19" s="44"/>
      <c r="H19" s="31">
        <f t="shared" ref="H19:R19" si="14">IF($E19&lt;I$4,($G19*1.3)/4,0)</f>
        <v>0</v>
      </c>
      <c r="I19" s="33">
        <f t="shared" si="14"/>
        <v>0</v>
      </c>
      <c r="J19" s="33">
        <f t="shared" si="14"/>
        <v>0</v>
      </c>
      <c r="K19" s="33">
        <f t="shared" si="14"/>
        <v>0</v>
      </c>
      <c r="L19" s="33">
        <f t="shared" si="14"/>
        <v>0</v>
      </c>
      <c r="M19" s="33">
        <f t="shared" si="14"/>
        <v>0</v>
      </c>
      <c r="N19" s="33">
        <f t="shared" si="14"/>
        <v>0</v>
      </c>
      <c r="O19" s="33">
        <f t="shared" si="14"/>
        <v>0</v>
      </c>
      <c r="P19" s="33">
        <f t="shared" si="14"/>
        <v>0</v>
      </c>
      <c r="Q19" s="33">
        <f t="shared" si="14"/>
        <v>0</v>
      </c>
      <c r="R19" s="33">
        <f t="shared" si="14"/>
        <v>0</v>
      </c>
      <c r="S19" s="33">
        <f t="shared" si="1"/>
        <v>0</v>
      </c>
      <c r="T19" s="5"/>
    </row>
    <row r="20" spans="1:20" hidden="1" outlineLevel="1" x14ac:dyDescent="0.25">
      <c r="A20" s="40"/>
      <c r="B20" s="40"/>
      <c r="C20" s="35"/>
      <c r="D20" s="40"/>
      <c r="E20" s="43"/>
      <c r="F20" s="43"/>
      <c r="G20" s="44"/>
      <c r="H20" s="31">
        <f t="shared" ref="H20:R20" si="15">IF($E20&lt;I$4,($G20*1.3)/4,0)</f>
        <v>0</v>
      </c>
      <c r="I20" s="33">
        <f t="shared" si="15"/>
        <v>0</v>
      </c>
      <c r="J20" s="33">
        <f t="shared" si="15"/>
        <v>0</v>
      </c>
      <c r="K20" s="33">
        <f t="shared" si="15"/>
        <v>0</v>
      </c>
      <c r="L20" s="33">
        <f t="shared" si="15"/>
        <v>0</v>
      </c>
      <c r="M20" s="33">
        <f t="shared" si="15"/>
        <v>0</v>
      </c>
      <c r="N20" s="33">
        <f t="shared" si="15"/>
        <v>0</v>
      </c>
      <c r="O20" s="33">
        <f t="shared" si="15"/>
        <v>0</v>
      </c>
      <c r="P20" s="33">
        <f t="shared" si="15"/>
        <v>0</v>
      </c>
      <c r="Q20" s="33">
        <f t="shared" si="15"/>
        <v>0</v>
      </c>
      <c r="R20" s="33">
        <f t="shared" si="15"/>
        <v>0</v>
      </c>
      <c r="S20" s="33">
        <f t="shared" si="1"/>
        <v>0</v>
      </c>
      <c r="T20" s="5"/>
    </row>
    <row r="21" spans="1:20" hidden="1" outlineLevel="1" x14ac:dyDescent="0.25">
      <c r="A21" s="40"/>
      <c r="B21" s="40"/>
      <c r="C21" s="35"/>
      <c r="D21" s="40"/>
      <c r="E21" s="43"/>
      <c r="F21" s="43"/>
      <c r="G21" s="44"/>
      <c r="H21" s="31">
        <f t="shared" ref="H21:R21" si="16">IF($E21&lt;I$4,($G21*1.3)/4,0)</f>
        <v>0</v>
      </c>
      <c r="I21" s="33">
        <f t="shared" si="16"/>
        <v>0</v>
      </c>
      <c r="J21" s="33">
        <f t="shared" si="16"/>
        <v>0</v>
      </c>
      <c r="K21" s="33">
        <f t="shared" si="16"/>
        <v>0</v>
      </c>
      <c r="L21" s="33">
        <f t="shared" si="16"/>
        <v>0</v>
      </c>
      <c r="M21" s="33">
        <f t="shared" si="16"/>
        <v>0</v>
      </c>
      <c r="N21" s="33">
        <f t="shared" si="16"/>
        <v>0</v>
      </c>
      <c r="O21" s="33">
        <f t="shared" si="16"/>
        <v>0</v>
      </c>
      <c r="P21" s="33">
        <f t="shared" si="16"/>
        <v>0</v>
      </c>
      <c r="Q21" s="33">
        <f t="shared" si="16"/>
        <v>0</v>
      </c>
      <c r="R21" s="33">
        <f t="shared" si="16"/>
        <v>0</v>
      </c>
      <c r="S21" s="33">
        <f t="shared" si="1"/>
        <v>0</v>
      </c>
      <c r="T21" s="5"/>
    </row>
    <row r="22" spans="1:20" hidden="1" outlineLevel="1" x14ac:dyDescent="0.25">
      <c r="A22" s="66"/>
      <c r="B22" s="66"/>
      <c r="C22" s="76"/>
      <c r="D22" s="77"/>
      <c r="E22" s="66"/>
      <c r="F22" s="66"/>
      <c r="G22" s="79"/>
      <c r="H22" s="31">
        <f t="shared" ref="H22:R22" si="17">IF($E22&lt;I$4,($G22*1.3)/4,0)</f>
        <v>0</v>
      </c>
      <c r="I22" s="33">
        <f t="shared" si="17"/>
        <v>0</v>
      </c>
      <c r="J22" s="33">
        <f t="shared" si="17"/>
        <v>0</v>
      </c>
      <c r="K22" s="33">
        <f t="shared" si="17"/>
        <v>0</v>
      </c>
      <c r="L22" s="33">
        <f t="shared" si="17"/>
        <v>0</v>
      </c>
      <c r="M22" s="33">
        <f t="shared" si="17"/>
        <v>0</v>
      </c>
      <c r="N22" s="33">
        <f t="shared" si="17"/>
        <v>0</v>
      </c>
      <c r="O22" s="33">
        <f t="shared" si="17"/>
        <v>0</v>
      </c>
      <c r="P22" s="33">
        <f t="shared" si="17"/>
        <v>0</v>
      </c>
      <c r="Q22" s="33">
        <f t="shared" si="17"/>
        <v>0</v>
      </c>
      <c r="R22" s="33">
        <f t="shared" si="17"/>
        <v>0</v>
      </c>
      <c r="S22" s="33">
        <f t="shared" si="1"/>
        <v>0</v>
      </c>
      <c r="T22" s="5"/>
    </row>
    <row r="23" spans="1:20" hidden="1" outlineLevel="1" x14ac:dyDescent="0.25">
      <c r="A23" s="66"/>
      <c r="B23" s="66"/>
      <c r="C23" s="76"/>
      <c r="D23" s="77"/>
      <c r="E23" s="66"/>
      <c r="F23" s="66"/>
      <c r="G23" s="79"/>
      <c r="H23" s="31">
        <f t="shared" ref="H23:R23" si="18">IF($E23&lt;I$4,($G23*1.3)/4,0)</f>
        <v>0</v>
      </c>
      <c r="I23" s="33">
        <f t="shared" si="18"/>
        <v>0</v>
      </c>
      <c r="J23" s="33">
        <f t="shared" si="18"/>
        <v>0</v>
      </c>
      <c r="K23" s="33">
        <f t="shared" si="18"/>
        <v>0</v>
      </c>
      <c r="L23" s="33">
        <f t="shared" si="18"/>
        <v>0</v>
      </c>
      <c r="M23" s="33">
        <f t="shared" si="18"/>
        <v>0</v>
      </c>
      <c r="N23" s="33">
        <f t="shared" si="18"/>
        <v>0</v>
      </c>
      <c r="O23" s="33">
        <f t="shared" si="18"/>
        <v>0</v>
      </c>
      <c r="P23" s="33">
        <f t="shared" si="18"/>
        <v>0</v>
      </c>
      <c r="Q23" s="33">
        <f t="shared" si="18"/>
        <v>0</v>
      </c>
      <c r="R23" s="33">
        <f t="shared" si="18"/>
        <v>0</v>
      </c>
      <c r="S23" s="33">
        <f t="shared" si="1"/>
        <v>0</v>
      </c>
      <c r="T23" s="5"/>
    </row>
    <row r="24" spans="1:20" hidden="1" outlineLevel="1" x14ac:dyDescent="0.25">
      <c r="A24" s="66"/>
      <c r="B24" s="66"/>
      <c r="C24" s="76"/>
      <c r="D24" s="77"/>
      <c r="E24" s="66"/>
      <c r="F24" s="66"/>
      <c r="G24" s="79"/>
      <c r="H24" s="31">
        <f t="shared" ref="H24:R24" si="19">IF($E24&lt;I$4,($G24*1.3)/4,0)</f>
        <v>0</v>
      </c>
      <c r="I24" s="33">
        <f t="shared" si="19"/>
        <v>0</v>
      </c>
      <c r="J24" s="33">
        <f t="shared" si="19"/>
        <v>0</v>
      </c>
      <c r="K24" s="33">
        <f t="shared" si="19"/>
        <v>0</v>
      </c>
      <c r="L24" s="33">
        <f t="shared" si="19"/>
        <v>0</v>
      </c>
      <c r="M24" s="33">
        <f t="shared" si="19"/>
        <v>0</v>
      </c>
      <c r="N24" s="33">
        <f t="shared" si="19"/>
        <v>0</v>
      </c>
      <c r="O24" s="33">
        <f t="shared" si="19"/>
        <v>0</v>
      </c>
      <c r="P24" s="33">
        <f t="shared" si="19"/>
        <v>0</v>
      </c>
      <c r="Q24" s="33">
        <f t="shared" si="19"/>
        <v>0</v>
      </c>
      <c r="R24" s="33">
        <f t="shared" si="19"/>
        <v>0</v>
      </c>
      <c r="S24" s="33">
        <f t="shared" si="1"/>
        <v>0</v>
      </c>
      <c r="T24" s="5"/>
    </row>
    <row r="25" spans="1:20" hidden="1" outlineLevel="1" x14ac:dyDescent="0.25">
      <c r="A25" s="50"/>
      <c r="B25" s="50"/>
      <c r="C25" s="50"/>
      <c r="D25" s="50"/>
      <c r="E25" s="50"/>
      <c r="F25" s="50"/>
      <c r="G25" s="50"/>
      <c r="H25" s="81">
        <f t="shared" ref="H25:S25" si="20">SUM(H6:H24)</f>
        <v>0</v>
      </c>
      <c r="I25" s="82">
        <f t="shared" si="20"/>
        <v>0</v>
      </c>
      <c r="J25" s="82">
        <f t="shared" si="20"/>
        <v>0</v>
      </c>
      <c r="K25" s="82">
        <f t="shared" si="20"/>
        <v>0</v>
      </c>
      <c r="L25" s="82">
        <f t="shared" si="20"/>
        <v>0</v>
      </c>
      <c r="M25" s="82">
        <f t="shared" si="20"/>
        <v>0</v>
      </c>
      <c r="N25" s="82">
        <f t="shared" si="20"/>
        <v>0</v>
      </c>
      <c r="O25" s="82">
        <f t="shared" si="20"/>
        <v>0</v>
      </c>
      <c r="P25" s="82">
        <f t="shared" si="20"/>
        <v>0</v>
      </c>
      <c r="Q25" s="82">
        <f t="shared" si="20"/>
        <v>0</v>
      </c>
      <c r="R25" s="82">
        <f t="shared" si="20"/>
        <v>0</v>
      </c>
      <c r="S25" s="82">
        <f t="shared" si="20"/>
        <v>0</v>
      </c>
      <c r="T25" s="5"/>
    </row>
    <row r="26" spans="1:20" collapsed="1" x14ac:dyDescent="0.25">
      <c r="B26" s="5"/>
      <c r="C26" s="5"/>
      <c r="D26" s="5"/>
      <c r="E26" s="5"/>
      <c r="F26" s="5"/>
      <c r="G26" s="5"/>
      <c r="H26" s="5"/>
      <c r="I26" s="5"/>
      <c r="J26" s="5"/>
      <c r="K26" s="5"/>
      <c r="L26" s="5"/>
      <c r="M26" s="5"/>
      <c r="N26" s="5"/>
      <c r="O26" s="5"/>
      <c r="P26" s="5"/>
      <c r="Q26" s="5"/>
      <c r="R26" s="5"/>
      <c r="S26" s="5"/>
    </row>
    <row r="27" spans="1:20" ht="18.75" x14ac:dyDescent="0.3">
      <c r="A27" s="7" t="s">
        <v>67</v>
      </c>
      <c r="B27" s="5"/>
      <c r="C27" s="5"/>
      <c r="D27" s="5"/>
      <c r="E27" s="5"/>
      <c r="F27" s="5"/>
      <c r="G27" s="5"/>
      <c r="H27" s="790">
        <v>2019</v>
      </c>
      <c r="I27" s="789"/>
      <c r="J27" s="787">
        <v>2020</v>
      </c>
      <c r="K27" s="788"/>
      <c r="L27" s="788"/>
      <c r="M27" s="789"/>
      <c r="N27" s="787">
        <v>2021</v>
      </c>
      <c r="O27" s="788"/>
      <c r="P27" s="788"/>
      <c r="Q27" s="789"/>
      <c r="R27" s="790">
        <v>2022</v>
      </c>
      <c r="S27" s="789"/>
    </row>
    <row r="28" spans="1:20" ht="30" x14ac:dyDescent="0.25">
      <c r="A28" s="54" t="s">
        <v>8</v>
      </c>
      <c r="B28" s="54" t="s">
        <v>11</v>
      </c>
      <c r="C28" s="54" t="s">
        <v>71</v>
      </c>
      <c r="D28" s="791" t="s">
        <v>72</v>
      </c>
      <c r="E28" s="792"/>
      <c r="F28" s="793"/>
      <c r="G28" s="55" t="s">
        <v>73</v>
      </c>
      <c r="H28" s="18" t="s">
        <v>10</v>
      </c>
      <c r="I28" s="20" t="s">
        <v>17</v>
      </c>
      <c r="J28" s="22" t="s">
        <v>18</v>
      </c>
      <c r="K28" s="18" t="s">
        <v>19</v>
      </c>
      <c r="L28" s="18" t="s">
        <v>10</v>
      </c>
      <c r="M28" s="20" t="s">
        <v>17</v>
      </c>
      <c r="N28" s="22" t="s">
        <v>18</v>
      </c>
      <c r="O28" s="18" t="s">
        <v>19</v>
      </c>
      <c r="P28" s="18" t="s">
        <v>10</v>
      </c>
      <c r="Q28" s="20" t="s">
        <v>17</v>
      </c>
      <c r="R28" s="22" t="s">
        <v>18</v>
      </c>
      <c r="S28" s="18" t="s">
        <v>19</v>
      </c>
    </row>
    <row r="29" spans="1:20" ht="30" x14ac:dyDescent="0.25">
      <c r="A29" s="40" t="s">
        <v>141</v>
      </c>
      <c r="B29" s="40">
        <v>8010</v>
      </c>
      <c r="C29" s="152" t="s">
        <v>142</v>
      </c>
      <c r="D29" s="798" t="s">
        <v>143</v>
      </c>
      <c r="E29" s="795"/>
      <c r="F29" s="796"/>
      <c r="G29" s="58">
        <f>SUM(H29:M29)</f>
        <v>90000</v>
      </c>
      <c r="H29" s="56"/>
      <c r="I29" s="57">
        <f>18*5000</f>
        <v>90000</v>
      </c>
      <c r="J29" s="57"/>
      <c r="K29" s="57"/>
      <c r="L29" s="57"/>
      <c r="M29" s="57"/>
      <c r="N29" s="57"/>
      <c r="O29" s="57"/>
      <c r="P29" s="57"/>
      <c r="Q29" s="57"/>
      <c r="R29" s="57"/>
      <c r="S29" s="57"/>
    </row>
    <row r="30" spans="1:20" x14ac:dyDescent="0.25">
      <c r="A30" s="40" t="s">
        <v>141</v>
      </c>
      <c r="B30" s="40">
        <v>8010</v>
      </c>
      <c r="C30" s="152" t="s">
        <v>144</v>
      </c>
      <c r="D30" s="798" t="s">
        <v>145</v>
      </c>
      <c r="E30" s="795"/>
      <c r="F30" s="796"/>
      <c r="G30" s="58" t="s">
        <v>146</v>
      </c>
      <c r="H30" s="56"/>
      <c r="I30" s="57"/>
      <c r="J30" s="57"/>
      <c r="K30" s="57"/>
      <c r="L30" s="57"/>
      <c r="M30" s="57"/>
      <c r="N30" s="57"/>
      <c r="O30" s="57"/>
      <c r="P30" s="57"/>
      <c r="Q30" s="57"/>
      <c r="R30" s="57"/>
      <c r="S30" s="57"/>
    </row>
    <row r="31" spans="1:20" x14ac:dyDescent="0.25">
      <c r="A31" s="40" t="s">
        <v>141</v>
      </c>
      <c r="B31" s="40">
        <v>8010</v>
      </c>
      <c r="C31" s="152" t="s">
        <v>147</v>
      </c>
      <c r="D31" s="798" t="s">
        <v>148</v>
      </c>
      <c r="E31" s="795"/>
      <c r="F31" s="796"/>
      <c r="G31" s="58">
        <f>SUM(H31:M31)</f>
        <v>50000</v>
      </c>
      <c r="H31" s="56"/>
      <c r="I31" s="59">
        <v>10000</v>
      </c>
      <c r="J31" s="59">
        <v>10000</v>
      </c>
      <c r="K31" s="59">
        <v>10000</v>
      </c>
      <c r="L31" s="59">
        <v>10000</v>
      </c>
      <c r="M31" s="59">
        <v>10000</v>
      </c>
      <c r="N31" s="57"/>
      <c r="O31" s="57"/>
      <c r="P31" s="57"/>
      <c r="Q31" s="57"/>
      <c r="R31" s="57"/>
      <c r="S31" s="57"/>
    </row>
    <row r="32" spans="1:20" x14ac:dyDescent="0.25">
      <c r="A32" s="40" t="s">
        <v>141</v>
      </c>
      <c r="B32" s="40">
        <v>8010</v>
      </c>
      <c r="C32" s="152" t="s">
        <v>149</v>
      </c>
      <c r="D32" s="798" t="s">
        <v>150</v>
      </c>
      <c r="E32" s="795"/>
      <c r="F32" s="796"/>
      <c r="G32" s="58" t="s">
        <v>146</v>
      </c>
      <c r="H32" s="56"/>
      <c r="I32" s="59"/>
      <c r="J32" s="57"/>
      <c r="K32" s="57"/>
      <c r="L32" s="57"/>
      <c r="M32" s="57"/>
      <c r="N32" s="57"/>
      <c r="O32" s="57"/>
      <c r="P32" s="57"/>
      <c r="Q32" s="57"/>
      <c r="R32" s="57"/>
      <c r="S32" s="57"/>
    </row>
    <row r="33" spans="1:19" ht="30" x14ac:dyDescent="0.25">
      <c r="A33" s="40" t="s">
        <v>141</v>
      </c>
      <c r="B33" s="40">
        <v>8010</v>
      </c>
      <c r="C33" s="152" t="s">
        <v>151</v>
      </c>
      <c r="D33" s="798" t="s">
        <v>152</v>
      </c>
      <c r="E33" s="795"/>
      <c r="F33" s="796"/>
      <c r="G33" s="58" t="s">
        <v>146</v>
      </c>
      <c r="H33" s="56"/>
      <c r="I33" s="59"/>
      <c r="J33" s="57"/>
      <c r="K33" s="57"/>
      <c r="L33" s="57"/>
      <c r="M33" s="57"/>
      <c r="N33" s="57"/>
      <c r="O33" s="57"/>
      <c r="P33" s="57"/>
      <c r="Q33" s="57"/>
      <c r="R33" s="57"/>
      <c r="S33" s="57"/>
    </row>
    <row r="34" spans="1:19" ht="45" x14ac:dyDescent="0.25">
      <c r="A34" s="40" t="s">
        <v>141</v>
      </c>
      <c r="B34" s="40" t="s">
        <v>153</v>
      </c>
      <c r="C34" s="152" t="s">
        <v>154</v>
      </c>
      <c r="D34" s="799" t="s">
        <v>155</v>
      </c>
      <c r="E34" s="795"/>
      <c r="F34" s="796"/>
      <c r="G34" s="58">
        <f t="shared" ref="G34:G35" si="21">SUM(H34:M34)</f>
        <v>20000</v>
      </c>
      <c r="H34" s="56"/>
      <c r="I34" s="59">
        <v>10000</v>
      </c>
      <c r="J34" s="57"/>
      <c r="K34" s="57"/>
      <c r="L34" s="57"/>
      <c r="M34" s="57">
        <v>10000</v>
      </c>
      <c r="N34" s="57"/>
      <c r="O34" s="57"/>
      <c r="P34" s="57"/>
      <c r="Q34" s="57"/>
      <c r="R34" s="57"/>
      <c r="S34" s="57"/>
    </row>
    <row r="35" spans="1:19" x14ac:dyDescent="0.25">
      <c r="A35" s="40" t="s">
        <v>141</v>
      </c>
      <c r="B35" s="40">
        <v>8010</v>
      </c>
      <c r="C35" s="153" t="s">
        <v>156</v>
      </c>
      <c r="D35" s="798" t="s">
        <v>157</v>
      </c>
      <c r="E35" s="795"/>
      <c r="F35" s="796"/>
      <c r="G35" s="58">
        <f t="shared" si="21"/>
        <v>30000</v>
      </c>
      <c r="H35" s="63"/>
      <c r="I35" s="57">
        <v>30000</v>
      </c>
      <c r="J35" s="57"/>
      <c r="K35" s="57"/>
      <c r="L35" s="57"/>
      <c r="M35" s="57"/>
      <c r="N35" s="57"/>
      <c r="O35" s="57"/>
      <c r="P35" s="57"/>
      <c r="Q35" s="57"/>
      <c r="R35" s="57"/>
      <c r="S35" s="57"/>
    </row>
    <row r="36" spans="1:19" x14ac:dyDescent="0.25">
      <c r="A36" s="40"/>
      <c r="B36" s="40"/>
      <c r="C36" s="60"/>
      <c r="D36" s="794"/>
      <c r="E36" s="795"/>
      <c r="F36" s="796"/>
      <c r="G36" s="58"/>
      <c r="H36" s="63"/>
      <c r="I36" s="57"/>
      <c r="J36" s="57"/>
      <c r="K36" s="57"/>
      <c r="L36" s="57"/>
      <c r="M36" s="57"/>
      <c r="N36" s="57"/>
      <c r="O36" s="57"/>
      <c r="P36" s="57"/>
      <c r="Q36" s="57"/>
      <c r="R36" s="57"/>
      <c r="S36" s="57"/>
    </row>
    <row r="37" spans="1:19" x14ac:dyDescent="0.25">
      <c r="A37" s="40"/>
      <c r="B37" s="40"/>
      <c r="C37" s="60"/>
      <c r="D37" s="794"/>
      <c r="E37" s="795"/>
      <c r="F37" s="796"/>
      <c r="G37" s="58"/>
      <c r="H37" s="63"/>
      <c r="I37" s="57"/>
      <c r="J37" s="57"/>
      <c r="K37" s="57"/>
      <c r="L37" s="57"/>
      <c r="M37" s="57"/>
      <c r="N37" s="57"/>
      <c r="O37" s="57"/>
      <c r="P37" s="57"/>
      <c r="Q37" s="57"/>
      <c r="R37" s="57"/>
      <c r="S37" s="57"/>
    </row>
    <row r="38" spans="1:19" x14ac:dyDescent="0.25">
      <c r="A38" s="40"/>
      <c r="B38" s="40"/>
      <c r="C38" s="40"/>
      <c r="D38" s="794"/>
      <c r="E38" s="795"/>
      <c r="F38" s="796"/>
      <c r="G38" s="58"/>
      <c r="H38" s="63"/>
      <c r="I38" s="57"/>
      <c r="J38" s="57"/>
      <c r="K38" s="57"/>
      <c r="L38" s="57"/>
      <c r="M38" s="57"/>
      <c r="N38" s="57"/>
      <c r="O38" s="57"/>
      <c r="P38" s="57"/>
      <c r="Q38" s="57"/>
      <c r="R38" s="57"/>
      <c r="S38" s="57"/>
    </row>
    <row r="39" spans="1:19" x14ac:dyDescent="0.25">
      <c r="A39" s="66"/>
      <c r="B39" s="40"/>
      <c r="C39" s="40"/>
      <c r="D39" s="794"/>
      <c r="E39" s="795"/>
      <c r="F39" s="796"/>
      <c r="G39" s="68"/>
      <c r="H39" s="69"/>
      <c r="I39" s="70"/>
      <c r="J39" s="70"/>
      <c r="K39" s="70"/>
      <c r="L39" s="70"/>
      <c r="M39" s="70"/>
      <c r="N39" s="70"/>
      <c r="O39" s="70"/>
      <c r="P39" s="70"/>
      <c r="Q39" s="70"/>
      <c r="R39" s="70"/>
      <c r="S39" s="70"/>
    </row>
    <row r="40" spans="1:19" x14ac:dyDescent="0.25">
      <c r="A40" s="66"/>
      <c r="B40" s="66"/>
      <c r="C40" s="66"/>
      <c r="D40" s="794"/>
      <c r="E40" s="795"/>
      <c r="F40" s="796"/>
      <c r="G40" s="72"/>
      <c r="H40" s="74"/>
      <c r="I40" s="75"/>
      <c r="J40" s="75"/>
      <c r="K40" s="75"/>
      <c r="L40" s="75"/>
      <c r="M40" s="75"/>
      <c r="N40" s="75"/>
      <c r="O40" s="75"/>
      <c r="P40" s="75"/>
      <c r="Q40" s="75"/>
      <c r="R40" s="75"/>
      <c r="S40" s="75"/>
    </row>
    <row r="41" spans="1:19" x14ac:dyDescent="0.25">
      <c r="G41" s="108">
        <f>SUM(G29:G40)</f>
        <v>190000</v>
      </c>
      <c r="H41" s="109">
        <f t="shared" ref="H41:S41" si="22">SUM(H29:H34)</f>
        <v>0</v>
      </c>
      <c r="I41" s="108">
        <f t="shared" si="22"/>
        <v>110000</v>
      </c>
      <c r="J41" s="108">
        <f t="shared" si="22"/>
        <v>10000</v>
      </c>
      <c r="K41" s="108">
        <f t="shared" si="22"/>
        <v>10000</v>
      </c>
      <c r="L41" s="108">
        <f t="shared" si="22"/>
        <v>10000</v>
      </c>
      <c r="M41" s="108">
        <f t="shared" si="22"/>
        <v>20000</v>
      </c>
      <c r="N41" s="108">
        <f t="shared" si="22"/>
        <v>0</v>
      </c>
      <c r="O41" s="108">
        <f t="shared" si="22"/>
        <v>0</v>
      </c>
      <c r="P41" s="108">
        <f t="shared" si="22"/>
        <v>0</v>
      </c>
      <c r="Q41" s="108">
        <f t="shared" si="22"/>
        <v>0</v>
      </c>
      <c r="R41" s="108">
        <f t="shared" si="22"/>
        <v>0</v>
      </c>
      <c r="S41" s="108">
        <f t="shared" si="22"/>
        <v>0</v>
      </c>
    </row>
  </sheetData>
  <mergeCells count="21">
    <mergeCell ref="D28:F28"/>
    <mergeCell ref="D32:F32"/>
    <mergeCell ref="D35:F35"/>
    <mergeCell ref="D37:F37"/>
    <mergeCell ref="D36:F36"/>
    <mergeCell ref="D39:F39"/>
    <mergeCell ref="D40:F40"/>
    <mergeCell ref="D38:F38"/>
    <mergeCell ref="D29:F29"/>
    <mergeCell ref="D31:F31"/>
    <mergeCell ref="D30:F30"/>
    <mergeCell ref="D34:F34"/>
    <mergeCell ref="D33:F33"/>
    <mergeCell ref="N3:Q3"/>
    <mergeCell ref="R3:S3"/>
    <mergeCell ref="J3:M3"/>
    <mergeCell ref="H3:I3"/>
    <mergeCell ref="J27:M27"/>
    <mergeCell ref="N27:Q27"/>
    <mergeCell ref="R27:S27"/>
    <mergeCell ref="H27:I27"/>
  </mergeCells>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41"/>
  <sheetViews>
    <sheetView showGridLines="0" zoomScale="80" zoomScaleNormal="80" workbookViewId="0">
      <selection activeCell="G33" sqref="G33"/>
    </sheetView>
  </sheetViews>
  <sheetFormatPr defaultColWidth="14.42578125" defaultRowHeight="15" customHeight="1" outlineLevelRow="2" x14ac:dyDescent="0.25"/>
  <cols>
    <col min="1" max="1" width="17.42578125" customWidth="1"/>
    <col min="2" max="2" width="29.140625" customWidth="1"/>
    <col min="3" max="3" width="20.85546875" customWidth="1"/>
    <col min="4" max="4" width="20.7109375" customWidth="1"/>
    <col min="5" max="6" width="17.140625" customWidth="1"/>
    <col min="7" max="7" width="17.28515625" customWidth="1"/>
    <col min="8" max="19" width="9.85546875" customWidth="1"/>
    <col min="20" max="20" width="7.85546875" customWidth="1"/>
    <col min="21" max="27" width="15.85546875" customWidth="1"/>
  </cols>
  <sheetData>
    <row r="1" spans="1:20" ht="23.25" x14ac:dyDescent="0.35">
      <c r="A1" s="1" t="s">
        <v>2</v>
      </c>
    </row>
    <row r="2" spans="1:20" x14ac:dyDescent="0.25">
      <c r="I2" s="5"/>
      <c r="J2" s="6"/>
      <c r="K2" s="5"/>
      <c r="L2" s="5"/>
      <c r="M2" s="5"/>
      <c r="N2" s="6"/>
      <c r="O2" s="5"/>
      <c r="P2" s="5"/>
      <c r="Q2" s="5"/>
      <c r="R2" s="6"/>
      <c r="S2" s="5"/>
      <c r="T2" s="5"/>
    </row>
    <row r="3" spans="1:20" ht="18.75" hidden="1" outlineLevel="1" x14ac:dyDescent="0.3">
      <c r="A3" s="7" t="s">
        <v>4</v>
      </c>
      <c r="H3" s="790">
        <v>2019</v>
      </c>
      <c r="I3" s="789"/>
      <c r="J3" s="787">
        <v>2020</v>
      </c>
      <c r="K3" s="788"/>
      <c r="L3" s="788"/>
      <c r="M3" s="789"/>
      <c r="N3" s="787">
        <v>2021</v>
      </c>
      <c r="O3" s="788"/>
      <c r="P3" s="788"/>
      <c r="Q3" s="789"/>
      <c r="R3" s="790">
        <v>2022</v>
      </c>
      <c r="S3" s="789"/>
      <c r="T3" s="5"/>
    </row>
    <row r="4" spans="1:20" hidden="1" outlineLevel="2" x14ac:dyDescent="0.25">
      <c r="A4" s="8"/>
      <c r="B4" s="8"/>
      <c r="C4" s="8"/>
      <c r="D4" s="11"/>
      <c r="E4" s="8"/>
      <c r="F4" s="8"/>
      <c r="G4" s="11"/>
      <c r="H4" s="13">
        <v>43647</v>
      </c>
      <c r="I4" s="13">
        <v>43739</v>
      </c>
      <c r="J4" s="13">
        <v>43831</v>
      </c>
      <c r="K4" s="13">
        <v>43922</v>
      </c>
      <c r="L4" s="13">
        <v>44013</v>
      </c>
      <c r="M4" s="13">
        <v>44105</v>
      </c>
      <c r="N4" s="13">
        <v>44197</v>
      </c>
      <c r="O4" s="13">
        <v>44287</v>
      </c>
      <c r="P4" s="13">
        <v>44378</v>
      </c>
      <c r="Q4" s="13">
        <v>44470</v>
      </c>
      <c r="R4" s="13">
        <v>44562</v>
      </c>
      <c r="S4" s="13">
        <v>44652</v>
      </c>
      <c r="T4" s="5"/>
    </row>
    <row r="5" spans="1:20" ht="30" hidden="1" outlineLevel="1" collapsed="1" x14ac:dyDescent="0.25">
      <c r="A5" s="15" t="s">
        <v>8</v>
      </c>
      <c r="B5" s="15" t="s">
        <v>11</v>
      </c>
      <c r="C5" s="15" t="s">
        <v>12</v>
      </c>
      <c r="D5" s="16" t="s">
        <v>13</v>
      </c>
      <c r="E5" s="17" t="s">
        <v>14</v>
      </c>
      <c r="F5" s="17" t="s">
        <v>15</v>
      </c>
      <c r="G5" s="16" t="s">
        <v>16</v>
      </c>
      <c r="H5" s="19" t="s">
        <v>10</v>
      </c>
      <c r="I5" s="21" t="s">
        <v>17</v>
      </c>
      <c r="J5" s="23" t="s">
        <v>18</v>
      </c>
      <c r="K5" s="25" t="s">
        <v>19</v>
      </c>
      <c r="L5" s="25" t="s">
        <v>10</v>
      </c>
      <c r="M5" s="21" t="s">
        <v>17</v>
      </c>
      <c r="N5" s="23" t="s">
        <v>18</v>
      </c>
      <c r="O5" s="25" t="s">
        <v>19</v>
      </c>
      <c r="P5" s="25" t="s">
        <v>10</v>
      </c>
      <c r="Q5" s="21" t="s">
        <v>17</v>
      </c>
      <c r="R5" s="23" t="s">
        <v>18</v>
      </c>
      <c r="S5" s="25" t="s">
        <v>19</v>
      </c>
      <c r="T5" s="5"/>
    </row>
    <row r="6" spans="1:20" hidden="1" outlineLevel="1" x14ac:dyDescent="0.25">
      <c r="A6" s="27"/>
      <c r="B6" s="27"/>
      <c r="C6" s="30"/>
      <c r="D6" s="27"/>
      <c r="E6" s="37"/>
      <c r="F6" s="27"/>
      <c r="G6" s="39"/>
      <c r="H6" s="31">
        <f t="shared" ref="H6:R6" si="0">IF($E6&lt;I$4,($G6*1.3)/4,0)</f>
        <v>0</v>
      </c>
      <c r="I6" s="33">
        <f t="shared" si="0"/>
        <v>0</v>
      </c>
      <c r="J6" s="33">
        <f t="shared" si="0"/>
        <v>0</v>
      </c>
      <c r="K6" s="33">
        <f t="shared" si="0"/>
        <v>0</v>
      </c>
      <c r="L6" s="33">
        <f t="shared" si="0"/>
        <v>0</v>
      </c>
      <c r="M6" s="33">
        <f t="shared" si="0"/>
        <v>0</v>
      </c>
      <c r="N6" s="33">
        <f t="shared" si="0"/>
        <v>0</v>
      </c>
      <c r="O6" s="33">
        <f t="shared" si="0"/>
        <v>0</v>
      </c>
      <c r="P6" s="33">
        <f t="shared" si="0"/>
        <v>0</v>
      </c>
      <c r="Q6" s="33">
        <f t="shared" si="0"/>
        <v>0</v>
      </c>
      <c r="R6" s="33">
        <f t="shared" si="0"/>
        <v>0</v>
      </c>
      <c r="S6" s="33">
        <f t="shared" ref="S6:S24" si="1">IF($E6&lt;S$4,($G6*1.3)/4,0)</f>
        <v>0</v>
      </c>
      <c r="T6" s="5"/>
    </row>
    <row r="7" spans="1:20" hidden="1" outlineLevel="1" x14ac:dyDescent="0.25">
      <c r="A7" s="40"/>
      <c r="B7" s="40"/>
      <c r="C7" s="35"/>
      <c r="D7" s="40"/>
      <c r="E7" s="42"/>
      <c r="F7" s="43"/>
      <c r="G7" s="44"/>
      <c r="H7" s="31">
        <f t="shared" ref="H7:R7" si="2">IF($E7&lt;I$4,($G7*1.3)/4,0)</f>
        <v>0</v>
      </c>
      <c r="I7" s="33">
        <f t="shared" si="2"/>
        <v>0</v>
      </c>
      <c r="J7" s="33">
        <f t="shared" si="2"/>
        <v>0</v>
      </c>
      <c r="K7" s="33">
        <f t="shared" si="2"/>
        <v>0</v>
      </c>
      <c r="L7" s="33">
        <f t="shared" si="2"/>
        <v>0</v>
      </c>
      <c r="M7" s="33">
        <f t="shared" si="2"/>
        <v>0</v>
      </c>
      <c r="N7" s="33">
        <f t="shared" si="2"/>
        <v>0</v>
      </c>
      <c r="O7" s="33">
        <f t="shared" si="2"/>
        <v>0</v>
      </c>
      <c r="P7" s="33">
        <f t="shared" si="2"/>
        <v>0</v>
      </c>
      <c r="Q7" s="33">
        <f t="shared" si="2"/>
        <v>0</v>
      </c>
      <c r="R7" s="33">
        <f t="shared" si="2"/>
        <v>0</v>
      </c>
      <c r="S7" s="33">
        <f t="shared" si="1"/>
        <v>0</v>
      </c>
      <c r="T7" s="5"/>
    </row>
    <row r="8" spans="1:20" hidden="1" outlineLevel="1" x14ac:dyDescent="0.25">
      <c r="A8" s="40"/>
      <c r="B8" s="40"/>
      <c r="C8" s="35"/>
      <c r="D8" s="40"/>
      <c r="E8" s="42"/>
      <c r="F8" s="43"/>
      <c r="G8" s="44"/>
      <c r="H8" s="31">
        <f t="shared" ref="H8:R8" si="3">IF($E8&lt;I$4,($G8*1.3)/4,0)</f>
        <v>0</v>
      </c>
      <c r="I8" s="33">
        <f t="shared" si="3"/>
        <v>0</v>
      </c>
      <c r="J8" s="33">
        <f t="shared" si="3"/>
        <v>0</v>
      </c>
      <c r="K8" s="33">
        <f t="shared" si="3"/>
        <v>0</v>
      </c>
      <c r="L8" s="33">
        <f t="shared" si="3"/>
        <v>0</v>
      </c>
      <c r="M8" s="33">
        <f t="shared" si="3"/>
        <v>0</v>
      </c>
      <c r="N8" s="33">
        <f t="shared" si="3"/>
        <v>0</v>
      </c>
      <c r="O8" s="33">
        <f t="shared" si="3"/>
        <v>0</v>
      </c>
      <c r="P8" s="33">
        <f t="shared" si="3"/>
        <v>0</v>
      </c>
      <c r="Q8" s="33">
        <f t="shared" si="3"/>
        <v>0</v>
      </c>
      <c r="R8" s="33">
        <f t="shared" si="3"/>
        <v>0</v>
      </c>
      <c r="S8" s="33">
        <f t="shared" si="1"/>
        <v>0</v>
      </c>
      <c r="T8" s="5"/>
    </row>
    <row r="9" spans="1:20" hidden="1" outlineLevel="1" x14ac:dyDescent="0.25">
      <c r="A9" s="40"/>
      <c r="B9" s="40"/>
      <c r="C9" s="35"/>
      <c r="D9" s="40"/>
      <c r="E9" s="42"/>
      <c r="F9" s="43"/>
      <c r="G9" s="44"/>
      <c r="H9" s="31">
        <f t="shared" ref="H9:R9" si="4">IF($E9&lt;I$4,($G9*1.3)/4,0)</f>
        <v>0</v>
      </c>
      <c r="I9" s="33">
        <f t="shared" si="4"/>
        <v>0</v>
      </c>
      <c r="J9" s="33">
        <f t="shared" si="4"/>
        <v>0</v>
      </c>
      <c r="K9" s="33">
        <f t="shared" si="4"/>
        <v>0</v>
      </c>
      <c r="L9" s="33">
        <f t="shared" si="4"/>
        <v>0</v>
      </c>
      <c r="M9" s="33">
        <f t="shared" si="4"/>
        <v>0</v>
      </c>
      <c r="N9" s="33">
        <f t="shared" si="4"/>
        <v>0</v>
      </c>
      <c r="O9" s="33">
        <f t="shared" si="4"/>
        <v>0</v>
      </c>
      <c r="P9" s="33">
        <f t="shared" si="4"/>
        <v>0</v>
      </c>
      <c r="Q9" s="33">
        <f t="shared" si="4"/>
        <v>0</v>
      </c>
      <c r="R9" s="33">
        <f t="shared" si="4"/>
        <v>0</v>
      </c>
      <c r="S9" s="33">
        <f t="shared" si="1"/>
        <v>0</v>
      </c>
      <c r="T9" s="5"/>
    </row>
    <row r="10" spans="1:20" hidden="1" outlineLevel="1" x14ac:dyDescent="0.25">
      <c r="A10" s="40"/>
      <c r="B10" s="40"/>
      <c r="C10" s="35"/>
      <c r="D10" s="40"/>
      <c r="E10" s="42"/>
      <c r="F10" s="43"/>
      <c r="G10" s="44"/>
      <c r="H10" s="31">
        <f t="shared" ref="H10:R10" si="5">IF($E10&lt;I$4,($G10*1.3)/4,0)</f>
        <v>0</v>
      </c>
      <c r="I10" s="33">
        <f t="shared" si="5"/>
        <v>0</v>
      </c>
      <c r="J10" s="33">
        <f t="shared" si="5"/>
        <v>0</v>
      </c>
      <c r="K10" s="33">
        <f t="shared" si="5"/>
        <v>0</v>
      </c>
      <c r="L10" s="33">
        <f t="shared" si="5"/>
        <v>0</v>
      </c>
      <c r="M10" s="33">
        <f t="shared" si="5"/>
        <v>0</v>
      </c>
      <c r="N10" s="33">
        <f t="shared" si="5"/>
        <v>0</v>
      </c>
      <c r="O10" s="33">
        <f t="shared" si="5"/>
        <v>0</v>
      </c>
      <c r="P10" s="33">
        <f t="shared" si="5"/>
        <v>0</v>
      </c>
      <c r="Q10" s="33">
        <f t="shared" si="5"/>
        <v>0</v>
      </c>
      <c r="R10" s="33">
        <f t="shared" si="5"/>
        <v>0</v>
      </c>
      <c r="S10" s="33">
        <f t="shared" si="1"/>
        <v>0</v>
      </c>
      <c r="T10" s="5"/>
    </row>
    <row r="11" spans="1:20" hidden="1" outlineLevel="1" x14ac:dyDescent="0.25">
      <c r="A11" s="40"/>
      <c r="B11" s="40"/>
      <c r="C11" s="35"/>
      <c r="D11" s="40"/>
      <c r="E11" s="42"/>
      <c r="F11" s="43"/>
      <c r="G11" s="44"/>
      <c r="H11" s="31">
        <f t="shared" ref="H11:R11" si="6">IF($E11&lt;I$4,($G11*1.3)/4,0)</f>
        <v>0</v>
      </c>
      <c r="I11" s="33">
        <f t="shared" si="6"/>
        <v>0</v>
      </c>
      <c r="J11" s="33">
        <f t="shared" si="6"/>
        <v>0</v>
      </c>
      <c r="K11" s="33">
        <f t="shared" si="6"/>
        <v>0</v>
      </c>
      <c r="L11" s="33">
        <f t="shared" si="6"/>
        <v>0</v>
      </c>
      <c r="M11" s="33">
        <f t="shared" si="6"/>
        <v>0</v>
      </c>
      <c r="N11" s="33">
        <f t="shared" si="6"/>
        <v>0</v>
      </c>
      <c r="O11" s="33">
        <f t="shared" si="6"/>
        <v>0</v>
      </c>
      <c r="P11" s="33">
        <f t="shared" si="6"/>
        <v>0</v>
      </c>
      <c r="Q11" s="33">
        <f t="shared" si="6"/>
        <v>0</v>
      </c>
      <c r="R11" s="33">
        <f t="shared" si="6"/>
        <v>0</v>
      </c>
      <c r="S11" s="33">
        <f t="shared" si="1"/>
        <v>0</v>
      </c>
      <c r="T11" s="5"/>
    </row>
    <row r="12" spans="1:20" hidden="1" outlineLevel="1" x14ac:dyDescent="0.25">
      <c r="A12" s="40"/>
      <c r="B12" s="40"/>
      <c r="C12" s="35"/>
      <c r="D12" s="40"/>
      <c r="E12" s="42"/>
      <c r="F12" s="43"/>
      <c r="G12" s="44"/>
      <c r="H12" s="31">
        <f t="shared" ref="H12:R12" si="7">IF($E12&lt;I$4,($G12*1.3)/4,0)</f>
        <v>0</v>
      </c>
      <c r="I12" s="33">
        <f t="shared" si="7"/>
        <v>0</v>
      </c>
      <c r="J12" s="33">
        <f t="shared" si="7"/>
        <v>0</v>
      </c>
      <c r="K12" s="33">
        <f t="shared" si="7"/>
        <v>0</v>
      </c>
      <c r="L12" s="33">
        <f t="shared" si="7"/>
        <v>0</v>
      </c>
      <c r="M12" s="33">
        <f t="shared" si="7"/>
        <v>0</v>
      </c>
      <c r="N12" s="33">
        <f t="shared" si="7"/>
        <v>0</v>
      </c>
      <c r="O12" s="33">
        <f t="shared" si="7"/>
        <v>0</v>
      </c>
      <c r="P12" s="33">
        <f t="shared" si="7"/>
        <v>0</v>
      </c>
      <c r="Q12" s="33">
        <f t="shared" si="7"/>
        <v>0</v>
      </c>
      <c r="R12" s="33">
        <f t="shared" si="7"/>
        <v>0</v>
      </c>
      <c r="S12" s="33">
        <f t="shared" si="1"/>
        <v>0</v>
      </c>
      <c r="T12" s="5"/>
    </row>
    <row r="13" spans="1:20" hidden="1" outlineLevel="1" x14ac:dyDescent="0.25">
      <c r="A13" s="40"/>
      <c r="B13" s="40"/>
      <c r="C13" s="35"/>
      <c r="D13" s="40"/>
      <c r="E13" s="42"/>
      <c r="F13" s="43"/>
      <c r="G13" s="44"/>
      <c r="H13" s="31">
        <f t="shared" ref="H13:R13" si="8">IF($E13&lt;I$4,($G13*1.3)/4,0)</f>
        <v>0</v>
      </c>
      <c r="I13" s="33">
        <f t="shared" si="8"/>
        <v>0</v>
      </c>
      <c r="J13" s="33">
        <f t="shared" si="8"/>
        <v>0</v>
      </c>
      <c r="K13" s="33">
        <f t="shared" si="8"/>
        <v>0</v>
      </c>
      <c r="L13" s="33">
        <f t="shared" si="8"/>
        <v>0</v>
      </c>
      <c r="M13" s="33">
        <f t="shared" si="8"/>
        <v>0</v>
      </c>
      <c r="N13" s="33">
        <f t="shared" si="8"/>
        <v>0</v>
      </c>
      <c r="O13" s="33">
        <f t="shared" si="8"/>
        <v>0</v>
      </c>
      <c r="P13" s="33">
        <f t="shared" si="8"/>
        <v>0</v>
      </c>
      <c r="Q13" s="33">
        <f t="shared" si="8"/>
        <v>0</v>
      </c>
      <c r="R13" s="33">
        <f t="shared" si="8"/>
        <v>0</v>
      </c>
      <c r="S13" s="33">
        <f t="shared" si="1"/>
        <v>0</v>
      </c>
      <c r="T13" s="5"/>
    </row>
    <row r="14" spans="1:20" hidden="1" outlineLevel="1" x14ac:dyDescent="0.25">
      <c r="A14" s="40"/>
      <c r="B14" s="40"/>
      <c r="C14" s="35"/>
      <c r="D14" s="40"/>
      <c r="E14" s="42"/>
      <c r="F14" s="43"/>
      <c r="G14" s="44"/>
      <c r="H14" s="31">
        <f t="shared" ref="H14:R14" si="9">IF($E14&lt;I$4,($G14*1.3)/4,0)</f>
        <v>0</v>
      </c>
      <c r="I14" s="33">
        <f t="shared" si="9"/>
        <v>0</v>
      </c>
      <c r="J14" s="33">
        <f t="shared" si="9"/>
        <v>0</v>
      </c>
      <c r="K14" s="33">
        <f t="shared" si="9"/>
        <v>0</v>
      </c>
      <c r="L14" s="33">
        <f t="shared" si="9"/>
        <v>0</v>
      </c>
      <c r="M14" s="33">
        <f t="shared" si="9"/>
        <v>0</v>
      </c>
      <c r="N14" s="33">
        <f t="shared" si="9"/>
        <v>0</v>
      </c>
      <c r="O14" s="33">
        <f t="shared" si="9"/>
        <v>0</v>
      </c>
      <c r="P14" s="33">
        <f t="shared" si="9"/>
        <v>0</v>
      </c>
      <c r="Q14" s="33">
        <f t="shared" si="9"/>
        <v>0</v>
      </c>
      <c r="R14" s="33">
        <f t="shared" si="9"/>
        <v>0</v>
      </c>
      <c r="S14" s="33">
        <f t="shared" si="1"/>
        <v>0</v>
      </c>
      <c r="T14" s="5"/>
    </row>
    <row r="15" spans="1:20" hidden="1" outlineLevel="1" x14ac:dyDescent="0.25">
      <c r="A15" s="40"/>
      <c r="B15" s="40"/>
      <c r="C15" s="35"/>
      <c r="D15" s="40"/>
      <c r="E15" s="42"/>
      <c r="F15" s="43"/>
      <c r="G15" s="44"/>
      <c r="H15" s="31">
        <f t="shared" ref="H15:R15" si="10">IF($E15&lt;I$4,($G15*1.3)/4,0)</f>
        <v>0</v>
      </c>
      <c r="I15" s="33">
        <f t="shared" si="10"/>
        <v>0</v>
      </c>
      <c r="J15" s="33">
        <f t="shared" si="10"/>
        <v>0</v>
      </c>
      <c r="K15" s="33">
        <f t="shared" si="10"/>
        <v>0</v>
      </c>
      <c r="L15" s="33">
        <f t="shared" si="10"/>
        <v>0</v>
      </c>
      <c r="M15" s="33">
        <f t="shared" si="10"/>
        <v>0</v>
      </c>
      <c r="N15" s="33">
        <f t="shared" si="10"/>
        <v>0</v>
      </c>
      <c r="O15" s="33">
        <f t="shared" si="10"/>
        <v>0</v>
      </c>
      <c r="P15" s="33">
        <f t="shared" si="10"/>
        <v>0</v>
      </c>
      <c r="Q15" s="33">
        <f t="shared" si="10"/>
        <v>0</v>
      </c>
      <c r="R15" s="33">
        <f t="shared" si="10"/>
        <v>0</v>
      </c>
      <c r="S15" s="33">
        <f t="shared" si="1"/>
        <v>0</v>
      </c>
      <c r="T15" s="5"/>
    </row>
    <row r="16" spans="1:20" hidden="1" outlineLevel="1" x14ac:dyDescent="0.25">
      <c r="A16" s="40"/>
      <c r="B16" s="40"/>
      <c r="C16" s="35"/>
      <c r="D16" s="40"/>
      <c r="E16" s="42"/>
      <c r="F16" s="43"/>
      <c r="G16" s="44"/>
      <c r="H16" s="31">
        <f t="shared" ref="H16:R16" si="11">IF($E16&lt;I$4,($G16*1.3)/4,0)</f>
        <v>0</v>
      </c>
      <c r="I16" s="33">
        <f t="shared" si="11"/>
        <v>0</v>
      </c>
      <c r="J16" s="33">
        <f t="shared" si="11"/>
        <v>0</v>
      </c>
      <c r="K16" s="33">
        <f t="shared" si="11"/>
        <v>0</v>
      </c>
      <c r="L16" s="33">
        <f t="shared" si="11"/>
        <v>0</v>
      </c>
      <c r="M16" s="33">
        <f t="shared" si="11"/>
        <v>0</v>
      </c>
      <c r="N16" s="33">
        <f t="shared" si="11"/>
        <v>0</v>
      </c>
      <c r="O16" s="33">
        <f t="shared" si="11"/>
        <v>0</v>
      </c>
      <c r="P16" s="33">
        <f t="shared" si="11"/>
        <v>0</v>
      </c>
      <c r="Q16" s="33">
        <f t="shared" si="11"/>
        <v>0</v>
      </c>
      <c r="R16" s="33">
        <f t="shared" si="11"/>
        <v>0</v>
      </c>
      <c r="S16" s="33">
        <f t="shared" si="1"/>
        <v>0</v>
      </c>
      <c r="T16" s="5"/>
    </row>
    <row r="17" spans="1:20" hidden="1" outlineLevel="1" x14ac:dyDescent="0.25">
      <c r="A17" s="40"/>
      <c r="B17" s="40"/>
      <c r="C17" s="35"/>
      <c r="D17" s="40"/>
      <c r="E17" s="40"/>
      <c r="F17" s="43"/>
      <c r="G17" s="44"/>
      <c r="H17" s="31">
        <f t="shared" ref="H17:R17" si="12">IF($E17&lt;I$4,($G17*1.3)/4,0)</f>
        <v>0</v>
      </c>
      <c r="I17" s="33">
        <f t="shared" si="12"/>
        <v>0</v>
      </c>
      <c r="J17" s="33">
        <f t="shared" si="12"/>
        <v>0</v>
      </c>
      <c r="K17" s="33">
        <f t="shared" si="12"/>
        <v>0</v>
      </c>
      <c r="L17" s="33">
        <f t="shared" si="12"/>
        <v>0</v>
      </c>
      <c r="M17" s="33">
        <f t="shared" si="12"/>
        <v>0</v>
      </c>
      <c r="N17" s="33">
        <f t="shared" si="12"/>
        <v>0</v>
      </c>
      <c r="O17" s="33">
        <f t="shared" si="12"/>
        <v>0</v>
      </c>
      <c r="P17" s="33">
        <f t="shared" si="12"/>
        <v>0</v>
      </c>
      <c r="Q17" s="33">
        <f t="shared" si="12"/>
        <v>0</v>
      </c>
      <c r="R17" s="33">
        <f t="shared" si="12"/>
        <v>0</v>
      </c>
      <c r="S17" s="33">
        <f t="shared" si="1"/>
        <v>0</v>
      </c>
      <c r="T17" s="5"/>
    </row>
    <row r="18" spans="1:20" hidden="1" outlineLevel="1" x14ac:dyDescent="0.25">
      <c r="A18" s="40"/>
      <c r="B18" s="40"/>
      <c r="C18" s="35"/>
      <c r="D18" s="40"/>
      <c r="E18" s="40"/>
      <c r="F18" s="43"/>
      <c r="G18" s="44"/>
      <c r="H18" s="31">
        <f t="shared" ref="H18:R18" si="13">IF($E18&lt;I$4,($G18*1.3)/4,0)</f>
        <v>0</v>
      </c>
      <c r="I18" s="33">
        <f t="shared" si="13"/>
        <v>0</v>
      </c>
      <c r="J18" s="33">
        <f t="shared" si="13"/>
        <v>0</v>
      </c>
      <c r="K18" s="33">
        <f t="shared" si="13"/>
        <v>0</v>
      </c>
      <c r="L18" s="33">
        <f t="shared" si="13"/>
        <v>0</v>
      </c>
      <c r="M18" s="33">
        <f t="shared" si="13"/>
        <v>0</v>
      </c>
      <c r="N18" s="33">
        <f t="shared" si="13"/>
        <v>0</v>
      </c>
      <c r="O18" s="33">
        <f t="shared" si="13"/>
        <v>0</v>
      </c>
      <c r="P18" s="33">
        <f t="shared" si="13"/>
        <v>0</v>
      </c>
      <c r="Q18" s="33">
        <f t="shared" si="13"/>
        <v>0</v>
      </c>
      <c r="R18" s="33">
        <f t="shared" si="13"/>
        <v>0</v>
      </c>
      <c r="S18" s="33">
        <f t="shared" si="1"/>
        <v>0</v>
      </c>
      <c r="T18" s="5"/>
    </row>
    <row r="19" spans="1:20" hidden="1" outlineLevel="1" x14ac:dyDescent="0.25">
      <c r="A19" s="40"/>
      <c r="B19" s="40"/>
      <c r="C19" s="35"/>
      <c r="D19" s="40"/>
      <c r="E19" s="40"/>
      <c r="F19" s="43"/>
      <c r="G19" s="44"/>
      <c r="H19" s="31">
        <f t="shared" ref="H19:R19" si="14">IF($E19&lt;I$4,($G19*1.3)/4,0)</f>
        <v>0</v>
      </c>
      <c r="I19" s="33">
        <f t="shared" si="14"/>
        <v>0</v>
      </c>
      <c r="J19" s="33">
        <f t="shared" si="14"/>
        <v>0</v>
      </c>
      <c r="K19" s="33">
        <f t="shared" si="14"/>
        <v>0</v>
      </c>
      <c r="L19" s="33">
        <f t="shared" si="14"/>
        <v>0</v>
      </c>
      <c r="M19" s="33">
        <f t="shared" si="14"/>
        <v>0</v>
      </c>
      <c r="N19" s="33">
        <f t="shared" si="14"/>
        <v>0</v>
      </c>
      <c r="O19" s="33">
        <f t="shared" si="14"/>
        <v>0</v>
      </c>
      <c r="P19" s="33">
        <f t="shared" si="14"/>
        <v>0</v>
      </c>
      <c r="Q19" s="33">
        <f t="shared" si="14"/>
        <v>0</v>
      </c>
      <c r="R19" s="33">
        <f t="shared" si="14"/>
        <v>0</v>
      </c>
      <c r="S19" s="33">
        <f t="shared" si="1"/>
        <v>0</v>
      </c>
      <c r="T19" s="5"/>
    </row>
    <row r="20" spans="1:20" hidden="1" outlineLevel="1" x14ac:dyDescent="0.25">
      <c r="A20" s="40"/>
      <c r="B20" s="40"/>
      <c r="C20" s="35"/>
      <c r="D20" s="40"/>
      <c r="E20" s="43"/>
      <c r="F20" s="43"/>
      <c r="G20" s="44"/>
      <c r="H20" s="31">
        <f t="shared" ref="H20:R20" si="15">IF($E20&lt;I$4,($G20*1.3)/4,0)</f>
        <v>0</v>
      </c>
      <c r="I20" s="33">
        <f t="shared" si="15"/>
        <v>0</v>
      </c>
      <c r="J20" s="33">
        <f t="shared" si="15"/>
        <v>0</v>
      </c>
      <c r="K20" s="33">
        <f t="shared" si="15"/>
        <v>0</v>
      </c>
      <c r="L20" s="33">
        <f t="shared" si="15"/>
        <v>0</v>
      </c>
      <c r="M20" s="33">
        <f t="shared" si="15"/>
        <v>0</v>
      </c>
      <c r="N20" s="33">
        <f t="shared" si="15"/>
        <v>0</v>
      </c>
      <c r="O20" s="33">
        <f t="shared" si="15"/>
        <v>0</v>
      </c>
      <c r="P20" s="33">
        <f t="shared" si="15"/>
        <v>0</v>
      </c>
      <c r="Q20" s="33">
        <f t="shared" si="15"/>
        <v>0</v>
      </c>
      <c r="R20" s="33">
        <f t="shared" si="15"/>
        <v>0</v>
      </c>
      <c r="S20" s="33">
        <f t="shared" si="1"/>
        <v>0</v>
      </c>
      <c r="T20" s="5"/>
    </row>
    <row r="21" spans="1:20" hidden="1" outlineLevel="1" x14ac:dyDescent="0.25">
      <c r="A21" s="40"/>
      <c r="B21" s="40"/>
      <c r="C21" s="35"/>
      <c r="D21" s="40"/>
      <c r="E21" s="43"/>
      <c r="F21" s="43"/>
      <c r="G21" s="44"/>
      <c r="H21" s="31">
        <f t="shared" ref="H21:R21" si="16">IF($E21&lt;I$4,($G21*1.3)/4,0)</f>
        <v>0</v>
      </c>
      <c r="I21" s="33">
        <f t="shared" si="16"/>
        <v>0</v>
      </c>
      <c r="J21" s="33">
        <f t="shared" si="16"/>
        <v>0</v>
      </c>
      <c r="K21" s="33">
        <f t="shared" si="16"/>
        <v>0</v>
      </c>
      <c r="L21" s="33">
        <f t="shared" si="16"/>
        <v>0</v>
      </c>
      <c r="M21" s="33">
        <f t="shared" si="16"/>
        <v>0</v>
      </c>
      <c r="N21" s="33">
        <f t="shared" si="16"/>
        <v>0</v>
      </c>
      <c r="O21" s="33">
        <f t="shared" si="16"/>
        <v>0</v>
      </c>
      <c r="P21" s="33">
        <f t="shared" si="16"/>
        <v>0</v>
      </c>
      <c r="Q21" s="33">
        <f t="shared" si="16"/>
        <v>0</v>
      </c>
      <c r="R21" s="33">
        <f t="shared" si="16"/>
        <v>0</v>
      </c>
      <c r="S21" s="33">
        <f t="shared" si="1"/>
        <v>0</v>
      </c>
      <c r="T21" s="5"/>
    </row>
    <row r="22" spans="1:20" hidden="1" outlineLevel="1" x14ac:dyDescent="0.25">
      <c r="A22" s="66"/>
      <c r="B22" s="66"/>
      <c r="C22" s="76"/>
      <c r="D22" s="77"/>
      <c r="E22" s="66"/>
      <c r="F22" s="66"/>
      <c r="G22" s="79"/>
      <c r="H22" s="31">
        <f t="shared" ref="H22:R22" si="17">IF($E22&lt;I$4,($G22*1.3)/4,0)</f>
        <v>0</v>
      </c>
      <c r="I22" s="33">
        <f t="shared" si="17"/>
        <v>0</v>
      </c>
      <c r="J22" s="33">
        <f t="shared" si="17"/>
        <v>0</v>
      </c>
      <c r="K22" s="33">
        <f t="shared" si="17"/>
        <v>0</v>
      </c>
      <c r="L22" s="33">
        <f t="shared" si="17"/>
        <v>0</v>
      </c>
      <c r="M22" s="33">
        <f t="shared" si="17"/>
        <v>0</v>
      </c>
      <c r="N22" s="33">
        <f t="shared" si="17"/>
        <v>0</v>
      </c>
      <c r="O22" s="33">
        <f t="shared" si="17"/>
        <v>0</v>
      </c>
      <c r="P22" s="33">
        <f t="shared" si="17"/>
        <v>0</v>
      </c>
      <c r="Q22" s="33">
        <f t="shared" si="17"/>
        <v>0</v>
      </c>
      <c r="R22" s="33">
        <f t="shared" si="17"/>
        <v>0</v>
      </c>
      <c r="S22" s="33">
        <f t="shared" si="1"/>
        <v>0</v>
      </c>
      <c r="T22" s="5"/>
    </row>
    <row r="23" spans="1:20" hidden="1" outlineLevel="1" x14ac:dyDescent="0.25">
      <c r="A23" s="66"/>
      <c r="B23" s="66"/>
      <c r="C23" s="76"/>
      <c r="D23" s="77"/>
      <c r="E23" s="66"/>
      <c r="F23" s="66"/>
      <c r="G23" s="79"/>
      <c r="H23" s="31">
        <f t="shared" ref="H23:R23" si="18">IF($E23&lt;I$4,($G23*1.3)/4,0)</f>
        <v>0</v>
      </c>
      <c r="I23" s="33">
        <f t="shared" si="18"/>
        <v>0</v>
      </c>
      <c r="J23" s="33">
        <f t="shared" si="18"/>
        <v>0</v>
      </c>
      <c r="K23" s="33">
        <f t="shared" si="18"/>
        <v>0</v>
      </c>
      <c r="L23" s="33">
        <f t="shared" si="18"/>
        <v>0</v>
      </c>
      <c r="M23" s="33">
        <f t="shared" si="18"/>
        <v>0</v>
      </c>
      <c r="N23" s="33">
        <f t="shared" si="18"/>
        <v>0</v>
      </c>
      <c r="O23" s="33">
        <f t="shared" si="18"/>
        <v>0</v>
      </c>
      <c r="P23" s="33">
        <f t="shared" si="18"/>
        <v>0</v>
      </c>
      <c r="Q23" s="33">
        <f t="shared" si="18"/>
        <v>0</v>
      </c>
      <c r="R23" s="33">
        <f t="shared" si="18"/>
        <v>0</v>
      </c>
      <c r="S23" s="33">
        <f t="shared" si="1"/>
        <v>0</v>
      </c>
      <c r="T23" s="5"/>
    </row>
    <row r="24" spans="1:20" hidden="1" outlineLevel="1" x14ac:dyDescent="0.25">
      <c r="A24" s="66"/>
      <c r="B24" s="66"/>
      <c r="C24" s="76"/>
      <c r="D24" s="77"/>
      <c r="E24" s="66"/>
      <c r="F24" s="66"/>
      <c r="G24" s="79"/>
      <c r="H24" s="31">
        <f t="shared" ref="H24:R24" si="19">IF($E24&lt;I$4,($G24*1.3)/4,0)</f>
        <v>0</v>
      </c>
      <c r="I24" s="33">
        <f t="shared" si="19"/>
        <v>0</v>
      </c>
      <c r="J24" s="33">
        <f t="shared" si="19"/>
        <v>0</v>
      </c>
      <c r="K24" s="33">
        <f t="shared" si="19"/>
        <v>0</v>
      </c>
      <c r="L24" s="33">
        <f t="shared" si="19"/>
        <v>0</v>
      </c>
      <c r="M24" s="33">
        <f t="shared" si="19"/>
        <v>0</v>
      </c>
      <c r="N24" s="33">
        <f t="shared" si="19"/>
        <v>0</v>
      </c>
      <c r="O24" s="33">
        <f t="shared" si="19"/>
        <v>0</v>
      </c>
      <c r="P24" s="33">
        <f t="shared" si="19"/>
        <v>0</v>
      </c>
      <c r="Q24" s="33">
        <f t="shared" si="19"/>
        <v>0</v>
      </c>
      <c r="R24" s="33">
        <f t="shared" si="19"/>
        <v>0</v>
      </c>
      <c r="S24" s="33">
        <f t="shared" si="1"/>
        <v>0</v>
      </c>
      <c r="T24" s="5"/>
    </row>
    <row r="25" spans="1:20" hidden="1" outlineLevel="1" x14ac:dyDescent="0.25">
      <c r="A25" s="50"/>
      <c r="B25" s="50"/>
      <c r="C25" s="50"/>
      <c r="D25" s="50"/>
      <c r="E25" s="50"/>
      <c r="F25" s="50"/>
      <c r="G25" s="50"/>
      <c r="H25" s="81">
        <f t="shared" ref="H25:S25" si="20">SUM(H6:H24)</f>
        <v>0</v>
      </c>
      <c r="I25" s="82">
        <f t="shared" si="20"/>
        <v>0</v>
      </c>
      <c r="J25" s="82">
        <f t="shared" si="20"/>
        <v>0</v>
      </c>
      <c r="K25" s="82">
        <f t="shared" si="20"/>
        <v>0</v>
      </c>
      <c r="L25" s="82">
        <f t="shared" si="20"/>
        <v>0</v>
      </c>
      <c r="M25" s="82">
        <f t="shared" si="20"/>
        <v>0</v>
      </c>
      <c r="N25" s="82">
        <f t="shared" si="20"/>
        <v>0</v>
      </c>
      <c r="O25" s="82">
        <f t="shared" si="20"/>
        <v>0</v>
      </c>
      <c r="P25" s="82">
        <f t="shared" si="20"/>
        <v>0</v>
      </c>
      <c r="Q25" s="82">
        <f t="shared" si="20"/>
        <v>0</v>
      </c>
      <c r="R25" s="82">
        <f t="shared" si="20"/>
        <v>0</v>
      </c>
      <c r="S25" s="82">
        <f t="shared" si="20"/>
        <v>0</v>
      </c>
      <c r="T25" s="5"/>
    </row>
    <row r="26" spans="1:20" hidden="1" outlineLevel="1" x14ac:dyDescent="0.25">
      <c r="B26" s="5"/>
      <c r="C26" s="5"/>
      <c r="D26" s="5"/>
      <c r="E26" s="5"/>
      <c r="F26" s="5"/>
      <c r="G26" s="5"/>
      <c r="H26" s="5"/>
      <c r="I26" s="5"/>
      <c r="J26" s="5"/>
      <c r="K26" s="5"/>
      <c r="L26" s="5"/>
      <c r="M26" s="5"/>
      <c r="N26" s="5"/>
      <c r="O26" s="5"/>
      <c r="P26" s="5"/>
      <c r="Q26" s="5"/>
      <c r="R26" s="5"/>
      <c r="S26" s="5"/>
    </row>
    <row r="27" spans="1:20" ht="18.75" collapsed="1" x14ac:dyDescent="0.3">
      <c r="A27" s="7" t="s">
        <v>67</v>
      </c>
      <c r="B27" s="5"/>
      <c r="C27" s="5"/>
      <c r="D27" s="5"/>
      <c r="E27" s="5"/>
      <c r="F27" s="5"/>
      <c r="G27" s="5"/>
      <c r="H27" s="790">
        <v>2019</v>
      </c>
      <c r="I27" s="789"/>
      <c r="J27" s="787">
        <v>2020</v>
      </c>
      <c r="K27" s="788"/>
      <c r="L27" s="788"/>
      <c r="M27" s="789"/>
      <c r="N27" s="787">
        <v>2021</v>
      </c>
      <c r="O27" s="788"/>
      <c r="P27" s="788"/>
      <c r="Q27" s="789"/>
      <c r="R27" s="790">
        <v>2022</v>
      </c>
      <c r="S27" s="789"/>
    </row>
    <row r="28" spans="1:20" ht="30" x14ac:dyDescent="0.25">
      <c r="A28" s="54" t="s">
        <v>8</v>
      </c>
      <c r="B28" s="54" t="s">
        <v>11</v>
      </c>
      <c r="C28" s="54" t="s">
        <v>71</v>
      </c>
      <c r="D28" s="791" t="s">
        <v>72</v>
      </c>
      <c r="E28" s="792"/>
      <c r="F28" s="793"/>
      <c r="G28" s="55" t="s">
        <v>73</v>
      </c>
      <c r="H28" s="18" t="s">
        <v>10</v>
      </c>
      <c r="I28" s="20" t="s">
        <v>17</v>
      </c>
      <c r="J28" s="22" t="s">
        <v>18</v>
      </c>
      <c r="K28" s="18" t="s">
        <v>19</v>
      </c>
      <c r="L28" s="18" t="s">
        <v>10</v>
      </c>
      <c r="M28" s="20" t="s">
        <v>17</v>
      </c>
      <c r="N28" s="22" t="s">
        <v>18</v>
      </c>
      <c r="O28" s="18" t="s">
        <v>19</v>
      </c>
      <c r="P28" s="18" t="s">
        <v>10</v>
      </c>
      <c r="Q28" s="20" t="s">
        <v>17</v>
      </c>
      <c r="R28" s="22" t="s">
        <v>18</v>
      </c>
      <c r="S28" s="18" t="s">
        <v>19</v>
      </c>
    </row>
    <row r="29" spans="1:20" ht="45" x14ac:dyDescent="0.25">
      <c r="A29" s="40" t="s">
        <v>159</v>
      </c>
      <c r="B29" s="40">
        <v>3620</v>
      </c>
      <c r="C29" s="154" t="s">
        <v>160</v>
      </c>
      <c r="D29" s="797" t="s">
        <v>161</v>
      </c>
      <c r="E29" s="795"/>
      <c r="F29" s="796"/>
      <c r="G29" s="58">
        <v>23000</v>
      </c>
      <c r="H29" s="58">
        <v>23000</v>
      </c>
      <c r="I29" s="57"/>
      <c r="J29" s="57"/>
      <c r="K29" s="57"/>
      <c r="L29" s="57"/>
      <c r="M29" s="57"/>
      <c r="N29" s="57"/>
      <c r="O29" s="57"/>
      <c r="P29" s="57"/>
      <c r="Q29" s="57"/>
      <c r="R29" s="57"/>
      <c r="S29" s="57"/>
    </row>
    <row r="30" spans="1:20" ht="30" x14ac:dyDescent="0.25">
      <c r="A30" s="40" t="s">
        <v>159</v>
      </c>
      <c r="B30" s="40">
        <v>3620</v>
      </c>
      <c r="C30" s="154" t="s">
        <v>162</v>
      </c>
      <c r="D30" s="797" t="s">
        <v>163</v>
      </c>
      <c r="E30" s="795"/>
      <c r="F30" s="796"/>
      <c r="G30" s="58">
        <v>5750</v>
      </c>
      <c r="H30" s="58">
        <v>5750</v>
      </c>
      <c r="I30" s="57"/>
      <c r="J30" s="57"/>
      <c r="K30" s="57"/>
      <c r="L30" s="57"/>
      <c r="M30" s="57"/>
      <c r="N30" s="57"/>
      <c r="O30" s="57"/>
      <c r="P30" s="57"/>
      <c r="Q30" s="57"/>
      <c r="R30" s="57"/>
      <c r="S30" s="57"/>
    </row>
    <row r="31" spans="1:20" x14ac:dyDescent="0.25">
      <c r="A31" s="40" t="s">
        <v>159</v>
      </c>
      <c r="B31" s="40">
        <v>3620</v>
      </c>
      <c r="C31" s="154" t="s">
        <v>164</v>
      </c>
      <c r="D31" s="797" t="s">
        <v>165</v>
      </c>
      <c r="E31" s="795"/>
      <c r="F31" s="796"/>
      <c r="G31" s="58">
        <v>15000</v>
      </c>
      <c r="H31" s="58">
        <v>15000</v>
      </c>
      <c r="I31" s="59"/>
      <c r="J31" s="57"/>
      <c r="K31" s="57"/>
      <c r="L31" s="57"/>
      <c r="M31" s="57"/>
      <c r="N31" s="57"/>
      <c r="O31" s="57"/>
      <c r="P31" s="57"/>
      <c r="Q31" s="57"/>
      <c r="R31" s="57"/>
      <c r="S31" s="57"/>
    </row>
    <row r="32" spans="1:20" x14ac:dyDescent="0.25">
      <c r="A32" s="40"/>
      <c r="B32" s="40"/>
      <c r="C32" s="154"/>
      <c r="D32" s="797"/>
      <c r="E32" s="795"/>
      <c r="F32" s="796"/>
      <c r="G32" s="58"/>
      <c r="H32" s="56"/>
      <c r="I32" s="59"/>
      <c r="J32" s="57"/>
      <c r="K32" s="57"/>
      <c r="L32" s="57"/>
      <c r="M32" s="57"/>
      <c r="N32" s="57"/>
      <c r="O32" s="57"/>
      <c r="P32" s="57"/>
      <c r="Q32" s="57"/>
      <c r="R32" s="57"/>
      <c r="S32" s="57"/>
    </row>
    <row r="33" spans="1:19" x14ac:dyDescent="0.25">
      <c r="A33" s="40"/>
      <c r="B33" s="40"/>
      <c r="C33" s="154"/>
      <c r="D33" s="797"/>
      <c r="E33" s="795"/>
      <c r="F33" s="796"/>
      <c r="G33" s="58"/>
      <c r="H33" s="56"/>
      <c r="I33" s="59"/>
      <c r="J33" s="57"/>
      <c r="K33" s="57"/>
      <c r="L33" s="57"/>
      <c r="M33" s="57"/>
      <c r="N33" s="57"/>
      <c r="O33" s="57"/>
      <c r="P33" s="57"/>
      <c r="Q33" s="57"/>
      <c r="R33" s="57"/>
      <c r="S33" s="57"/>
    </row>
    <row r="34" spans="1:19" x14ac:dyDescent="0.25">
      <c r="A34" s="40"/>
      <c r="B34" s="40"/>
      <c r="C34" s="154"/>
      <c r="D34" s="797"/>
      <c r="E34" s="795"/>
      <c r="F34" s="796"/>
      <c r="G34" s="58"/>
      <c r="H34" s="56"/>
      <c r="I34" s="59"/>
      <c r="J34" s="57"/>
      <c r="K34" s="57"/>
      <c r="L34" s="57"/>
      <c r="M34" s="57"/>
      <c r="N34" s="57"/>
      <c r="O34" s="57"/>
      <c r="P34" s="57"/>
      <c r="Q34" s="57"/>
      <c r="R34" s="57"/>
      <c r="S34" s="57"/>
    </row>
    <row r="35" spans="1:19" x14ac:dyDescent="0.25">
      <c r="A35" s="40"/>
      <c r="B35" s="40"/>
      <c r="C35" s="155"/>
      <c r="D35" s="797"/>
      <c r="E35" s="795"/>
      <c r="F35" s="796"/>
      <c r="G35" s="58"/>
      <c r="H35" s="63"/>
      <c r="I35" s="57"/>
      <c r="J35" s="57"/>
      <c r="K35" s="57"/>
      <c r="L35" s="57"/>
      <c r="M35" s="57"/>
      <c r="N35" s="57"/>
      <c r="O35" s="57"/>
      <c r="P35" s="57"/>
      <c r="Q35" s="57"/>
      <c r="R35" s="57"/>
      <c r="S35" s="57"/>
    </row>
    <row r="36" spans="1:19" x14ac:dyDescent="0.25">
      <c r="A36" s="40"/>
      <c r="B36" s="40"/>
      <c r="C36" s="155"/>
      <c r="D36" s="797"/>
      <c r="E36" s="795"/>
      <c r="F36" s="796"/>
      <c r="G36" s="58"/>
      <c r="H36" s="63"/>
      <c r="I36" s="57"/>
      <c r="J36" s="57"/>
      <c r="K36" s="57"/>
      <c r="L36" s="57"/>
      <c r="M36" s="57"/>
      <c r="N36" s="57"/>
      <c r="O36" s="57"/>
      <c r="P36" s="57"/>
      <c r="Q36" s="57"/>
      <c r="R36" s="57"/>
      <c r="S36" s="57"/>
    </row>
    <row r="37" spans="1:19" x14ac:dyDescent="0.25">
      <c r="A37" s="40"/>
      <c r="B37" s="40"/>
      <c r="C37" s="155"/>
      <c r="D37" s="797"/>
      <c r="E37" s="795"/>
      <c r="F37" s="796"/>
      <c r="G37" s="58"/>
      <c r="H37" s="63"/>
      <c r="I37" s="57"/>
      <c r="J37" s="57"/>
      <c r="K37" s="57"/>
      <c r="L37" s="57"/>
      <c r="M37" s="57"/>
      <c r="N37" s="57"/>
      <c r="O37" s="57"/>
      <c r="P37" s="57"/>
      <c r="Q37" s="57"/>
      <c r="R37" s="57"/>
      <c r="S37" s="57"/>
    </row>
    <row r="38" spans="1:19" x14ac:dyDescent="0.25">
      <c r="A38" s="40"/>
      <c r="B38" s="40"/>
      <c r="C38" s="154"/>
      <c r="D38" s="797"/>
      <c r="E38" s="795"/>
      <c r="F38" s="796"/>
      <c r="G38" s="58"/>
      <c r="H38" s="63"/>
      <c r="I38" s="57"/>
      <c r="J38" s="57"/>
      <c r="K38" s="57"/>
      <c r="L38" s="57"/>
      <c r="M38" s="57"/>
      <c r="N38" s="57"/>
      <c r="O38" s="57"/>
      <c r="P38" s="57"/>
      <c r="Q38" s="57"/>
      <c r="R38" s="57"/>
      <c r="S38" s="57"/>
    </row>
    <row r="39" spans="1:19" x14ac:dyDescent="0.25">
      <c r="A39" s="66"/>
      <c r="B39" s="40"/>
      <c r="C39" s="154"/>
      <c r="D39" s="797"/>
      <c r="E39" s="795"/>
      <c r="F39" s="796"/>
      <c r="G39" s="68"/>
      <c r="H39" s="69"/>
      <c r="I39" s="70"/>
      <c r="J39" s="70"/>
      <c r="K39" s="70"/>
      <c r="L39" s="70"/>
      <c r="M39" s="70"/>
      <c r="N39" s="70"/>
      <c r="O39" s="70"/>
      <c r="P39" s="70"/>
      <c r="Q39" s="70"/>
      <c r="R39" s="70"/>
      <c r="S39" s="70"/>
    </row>
    <row r="40" spans="1:19" x14ac:dyDescent="0.25">
      <c r="A40" s="66"/>
      <c r="B40" s="66"/>
      <c r="C40" s="156"/>
      <c r="D40" s="797"/>
      <c r="E40" s="795"/>
      <c r="F40" s="796"/>
      <c r="G40" s="72"/>
      <c r="H40" s="74"/>
      <c r="I40" s="75"/>
      <c r="J40" s="75"/>
      <c r="K40" s="75"/>
      <c r="L40" s="75"/>
      <c r="M40" s="75"/>
      <c r="N40" s="75"/>
      <c r="O40" s="75"/>
      <c r="P40" s="75"/>
      <c r="Q40" s="75"/>
      <c r="R40" s="75"/>
      <c r="S40" s="75"/>
    </row>
    <row r="41" spans="1:19" x14ac:dyDescent="0.25">
      <c r="G41" s="108">
        <f>SUM(G29:G40)</f>
        <v>43750</v>
      </c>
      <c r="H41" s="109">
        <f t="shared" ref="H41:S41" si="21">SUM(H29:H34)</f>
        <v>43750</v>
      </c>
      <c r="I41" s="108">
        <f t="shared" si="21"/>
        <v>0</v>
      </c>
      <c r="J41" s="108">
        <f t="shared" si="21"/>
        <v>0</v>
      </c>
      <c r="K41" s="108">
        <f t="shared" si="21"/>
        <v>0</v>
      </c>
      <c r="L41" s="108">
        <f t="shared" si="21"/>
        <v>0</v>
      </c>
      <c r="M41" s="108">
        <f t="shared" si="21"/>
        <v>0</v>
      </c>
      <c r="N41" s="108">
        <f t="shared" si="21"/>
        <v>0</v>
      </c>
      <c r="O41" s="108">
        <f t="shared" si="21"/>
        <v>0</v>
      </c>
      <c r="P41" s="108">
        <f t="shared" si="21"/>
        <v>0</v>
      </c>
      <c r="Q41" s="108">
        <f t="shared" si="21"/>
        <v>0</v>
      </c>
      <c r="R41" s="108">
        <f t="shared" si="21"/>
        <v>0</v>
      </c>
      <c r="S41" s="108">
        <f t="shared" si="21"/>
        <v>0</v>
      </c>
    </row>
  </sheetData>
  <mergeCells count="21">
    <mergeCell ref="D28:F28"/>
    <mergeCell ref="D37:F37"/>
    <mergeCell ref="D36:F36"/>
    <mergeCell ref="D39:F39"/>
    <mergeCell ref="D40:F40"/>
    <mergeCell ref="D38:F38"/>
    <mergeCell ref="D30:F30"/>
    <mergeCell ref="D35:F35"/>
    <mergeCell ref="D32:F32"/>
    <mergeCell ref="D31:F31"/>
    <mergeCell ref="D33:F33"/>
    <mergeCell ref="D34:F34"/>
    <mergeCell ref="D29:F29"/>
    <mergeCell ref="N3:Q3"/>
    <mergeCell ref="R3:S3"/>
    <mergeCell ref="J3:M3"/>
    <mergeCell ref="H3:I3"/>
    <mergeCell ref="J27:M27"/>
    <mergeCell ref="N27:Q27"/>
    <mergeCell ref="R27:S27"/>
    <mergeCell ref="H27:I27"/>
  </mergeCells>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41"/>
  <sheetViews>
    <sheetView showGridLines="0" zoomScale="80" zoomScaleNormal="80" workbookViewId="0">
      <selection activeCell="A29" sqref="A29"/>
    </sheetView>
  </sheetViews>
  <sheetFormatPr defaultColWidth="14.42578125" defaultRowHeight="15" customHeight="1" outlineLevelRow="2" x14ac:dyDescent="0.25"/>
  <cols>
    <col min="1" max="1" width="17.42578125" customWidth="1"/>
    <col min="2" max="2" width="29.140625" customWidth="1"/>
    <col min="3" max="3" width="20.85546875" customWidth="1"/>
    <col min="4" max="4" width="20.7109375" customWidth="1"/>
    <col min="5" max="6" width="17.140625" customWidth="1"/>
    <col min="7" max="7" width="17.28515625" customWidth="1"/>
    <col min="8" max="19" width="9.85546875" customWidth="1"/>
    <col min="20" max="20" width="7.85546875" customWidth="1"/>
    <col min="21" max="27" width="15.85546875" customWidth="1"/>
  </cols>
  <sheetData>
    <row r="1" spans="1:20" ht="23.25" x14ac:dyDescent="0.35">
      <c r="A1" s="1" t="s">
        <v>2</v>
      </c>
    </row>
    <row r="2" spans="1:20" x14ac:dyDescent="0.25">
      <c r="I2" s="5"/>
      <c r="J2" s="6"/>
      <c r="K2" s="5"/>
      <c r="L2" s="5"/>
      <c r="M2" s="5"/>
      <c r="N2" s="6"/>
      <c r="O2" s="5"/>
      <c r="P2" s="5"/>
      <c r="Q2" s="5"/>
      <c r="R2" s="6"/>
      <c r="S2" s="5"/>
      <c r="T2" s="5"/>
    </row>
    <row r="3" spans="1:20" ht="18.75" hidden="1" outlineLevel="1" x14ac:dyDescent="0.3">
      <c r="A3" s="7" t="s">
        <v>4</v>
      </c>
      <c r="H3" s="790">
        <v>2019</v>
      </c>
      <c r="I3" s="789"/>
      <c r="J3" s="787">
        <v>2020</v>
      </c>
      <c r="K3" s="788"/>
      <c r="L3" s="788"/>
      <c r="M3" s="789"/>
      <c r="N3" s="787">
        <v>2021</v>
      </c>
      <c r="O3" s="788"/>
      <c r="P3" s="788"/>
      <c r="Q3" s="789"/>
      <c r="R3" s="790">
        <v>2022</v>
      </c>
      <c r="S3" s="789"/>
      <c r="T3" s="5"/>
    </row>
    <row r="4" spans="1:20" hidden="1" outlineLevel="2" x14ac:dyDescent="0.25">
      <c r="A4" s="8"/>
      <c r="B4" s="8"/>
      <c r="C4" s="8"/>
      <c r="D4" s="11"/>
      <c r="E4" s="8"/>
      <c r="F4" s="8"/>
      <c r="G4" s="11"/>
      <c r="H4" s="13">
        <v>43647</v>
      </c>
      <c r="I4" s="13">
        <v>43739</v>
      </c>
      <c r="J4" s="13">
        <v>43831</v>
      </c>
      <c r="K4" s="13">
        <v>43922</v>
      </c>
      <c r="L4" s="13">
        <v>44013</v>
      </c>
      <c r="M4" s="13">
        <v>44105</v>
      </c>
      <c r="N4" s="13">
        <v>44197</v>
      </c>
      <c r="O4" s="13">
        <v>44287</v>
      </c>
      <c r="P4" s="13">
        <v>44378</v>
      </c>
      <c r="Q4" s="13">
        <v>44470</v>
      </c>
      <c r="R4" s="13">
        <v>44562</v>
      </c>
      <c r="S4" s="13">
        <v>44652</v>
      </c>
      <c r="T4" s="5"/>
    </row>
    <row r="5" spans="1:20" ht="30" hidden="1" outlineLevel="1" collapsed="1" x14ac:dyDescent="0.25">
      <c r="A5" s="15" t="s">
        <v>8</v>
      </c>
      <c r="B5" s="15" t="s">
        <v>11</v>
      </c>
      <c r="C5" s="15" t="s">
        <v>12</v>
      </c>
      <c r="D5" s="16" t="s">
        <v>13</v>
      </c>
      <c r="E5" s="17" t="s">
        <v>14</v>
      </c>
      <c r="F5" s="17" t="s">
        <v>15</v>
      </c>
      <c r="G5" s="16" t="s">
        <v>16</v>
      </c>
      <c r="H5" s="19" t="s">
        <v>10</v>
      </c>
      <c r="I5" s="21" t="s">
        <v>17</v>
      </c>
      <c r="J5" s="23" t="s">
        <v>18</v>
      </c>
      <c r="K5" s="25" t="s">
        <v>19</v>
      </c>
      <c r="L5" s="25" t="s">
        <v>10</v>
      </c>
      <c r="M5" s="21" t="s">
        <v>17</v>
      </c>
      <c r="N5" s="23" t="s">
        <v>18</v>
      </c>
      <c r="O5" s="25" t="s">
        <v>19</v>
      </c>
      <c r="P5" s="25" t="s">
        <v>10</v>
      </c>
      <c r="Q5" s="21" t="s">
        <v>17</v>
      </c>
      <c r="R5" s="23" t="s">
        <v>18</v>
      </c>
      <c r="S5" s="25" t="s">
        <v>19</v>
      </c>
      <c r="T5" s="5"/>
    </row>
    <row r="6" spans="1:20" hidden="1" outlineLevel="1" x14ac:dyDescent="0.25">
      <c r="A6" s="27" t="s">
        <v>140</v>
      </c>
      <c r="B6" s="27"/>
      <c r="C6" s="30"/>
      <c r="D6" s="27"/>
      <c r="E6" s="37"/>
      <c r="F6" s="27"/>
      <c r="G6" s="39"/>
      <c r="H6" s="31">
        <f t="shared" ref="H6:R6" si="0">IF($E6&lt;I$4,($G6*1.3)/4,0)</f>
        <v>0</v>
      </c>
      <c r="I6" s="33">
        <f t="shared" si="0"/>
        <v>0</v>
      </c>
      <c r="J6" s="33">
        <f t="shared" si="0"/>
        <v>0</v>
      </c>
      <c r="K6" s="33">
        <f t="shared" si="0"/>
        <v>0</v>
      </c>
      <c r="L6" s="33">
        <f t="shared" si="0"/>
        <v>0</v>
      </c>
      <c r="M6" s="33">
        <f t="shared" si="0"/>
        <v>0</v>
      </c>
      <c r="N6" s="33">
        <f t="shared" si="0"/>
        <v>0</v>
      </c>
      <c r="O6" s="33">
        <f t="shared" si="0"/>
        <v>0</v>
      </c>
      <c r="P6" s="33">
        <f t="shared" si="0"/>
        <v>0</v>
      </c>
      <c r="Q6" s="33">
        <f t="shared" si="0"/>
        <v>0</v>
      </c>
      <c r="R6" s="33">
        <f t="shared" si="0"/>
        <v>0</v>
      </c>
      <c r="S6" s="33">
        <f t="shared" ref="S6:S24" si="1">IF($E6&lt;S$4,($G6*1.3)/4,0)</f>
        <v>0</v>
      </c>
      <c r="T6" s="5"/>
    </row>
    <row r="7" spans="1:20" hidden="1" outlineLevel="1" x14ac:dyDescent="0.25">
      <c r="A7" s="40"/>
      <c r="B7" s="40"/>
      <c r="C7" s="35"/>
      <c r="D7" s="40"/>
      <c r="E7" s="42"/>
      <c r="F7" s="43"/>
      <c r="G7" s="44"/>
      <c r="H7" s="31">
        <f t="shared" ref="H7:R7" si="2">IF($E7&lt;I$4,($G7*1.3)/4,0)</f>
        <v>0</v>
      </c>
      <c r="I7" s="33">
        <f t="shared" si="2"/>
        <v>0</v>
      </c>
      <c r="J7" s="33">
        <f t="shared" si="2"/>
        <v>0</v>
      </c>
      <c r="K7" s="33">
        <f t="shared" si="2"/>
        <v>0</v>
      </c>
      <c r="L7" s="33">
        <f t="shared" si="2"/>
        <v>0</v>
      </c>
      <c r="M7" s="33">
        <f t="shared" si="2"/>
        <v>0</v>
      </c>
      <c r="N7" s="33">
        <f t="shared" si="2"/>
        <v>0</v>
      </c>
      <c r="O7" s="33">
        <f t="shared" si="2"/>
        <v>0</v>
      </c>
      <c r="P7" s="33">
        <f t="shared" si="2"/>
        <v>0</v>
      </c>
      <c r="Q7" s="33">
        <f t="shared" si="2"/>
        <v>0</v>
      </c>
      <c r="R7" s="33">
        <f t="shared" si="2"/>
        <v>0</v>
      </c>
      <c r="S7" s="33">
        <f t="shared" si="1"/>
        <v>0</v>
      </c>
      <c r="T7" s="5"/>
    </row>
    <row r="8" spans="1:20" hidden="1" outlineLevel="1" x14ac:dyDescent="0.25">
      <c r="A8" s="40"/>
      <c r="B8" s="40"/>
      <c r="C8" s="35"/>
      <c r="D8" s="40"/>
      <c r="E8" s="42"/>
      <c r="F8" s="43"/>
      <c r="G8" s="44"/>
      <c r="H8" s="31">
        <f t="shared" ref="H8:R8" si="3">IF($E8&lt;I$4,($G8*1.3)/4,0)</f>
        <v>0</v>
      </c>
      <c r="I8" s="33">
        <f t="shared" si="3"/>
        <v>0</v>
      </c>
      <c r="J8" s="33">
        <f t="shared" si="3"/>
        <v>0</v>
      </c>
      <c r="K8" s="33">
        <f t="shared" si="3"/>
        <v>0</v>
      </c>
      <c r="L8" s="33">
        <f t="shared" si="3"/>
        <v>0</v>
      </c>
      <c r="M8" s="33">
        <f t="shared" si="3"/>
        <v>0</v>
      </c>
      <c r="N8" s="33">
        <f t="shared" si="3"/>
        <v>0</v>
      </c>
      <c r="O8" s="33">
        <f t="shared" si="3"/>
        <v>0</v>
      </c>
      <c r="P8" s="33">
        <f t="shared" si="3"/>
        <v>0</v>
      </c>
      <c r="Q8" s="33">
        <f t="shared" si="3"/>
        <v>0</v>
      </c>
      <c r="R8" s="33">
        <f t="shared" si="3"/>
        <v>0</v>
      </c>
      <c r="S8" s="33">
        <f t="shared" si="1"/>
        <v>0</v>
      </c>
      <c r="T8" s="5"/>
    </row>
    <row r="9" spans="1:20" hidden="1" outlineLevel="1" x14ac:dyDescent="0.25">
      <c r="A9" s="40"/>
      <c r="B9" s="40"/>
      <c r="C9" s="35"/>
      <c r="D9" s="40"/>
      <c r="E9" s="42"/>
      <c r="F9" s="43"/>
      <c r="G9" s="44"/>
      <c r="H9" s="31">
        <f t="shared" ref="H9:R9" si="4">IF($E9&lt;I$4,($G9*1.3)/4,0)</f>
        <v>0</v>
      </c>
      <c r="I9" s="33">
        <f t="shared" si="4"/>
        <v>0</v>
      </c>
      <c r="J9" s="33">
        <f t="shared" si="4"/>
        <v>0</v>
      </c>
      <c r="K9" s="33">
        <f t="shared" si="4"/>
        <v>0</v>
      </c>
      <c r="L9" s="33">
        <f t="shared" si="4"/>
        <v>0</v>
      </c>
      <c r="M9" s="33">
        <f t="shared" si="4"/>
        <v>0</v>
      </c>
      <c r="N9" s="33">
        <f t="shared" si="4"/>
        <v>0</v>
      </c>
      <c r="O9" s="33">
        <f t="shared" si="4"/>
        <v>0</v>
      </c>
      <c r="P9" s="33">
        <f t="shared" si="4"/>
        <v>0</v>
      </c>
      <c r="Q9" s="33">
        <f t="shared" si="4"/>
        <v>0</v>
      </c>
      <c r="R9" s="33">
        <f t="shared" si="4"/>
        <v>0</v>
      </c>
      <c r="S9" s="33">
        <f t="shared" si="1"/>
        <v>0</v>
      </c>
      <c r="T9" s="5"/>
    </row>
    <row r="10" spans="1:20" hidden="1" outlineLevel="1" x14ac:dyDescent="0.25">
      <c r="A10" s="40"/>
      <c r="B10" s="40"/>
      <c r="C10" s="35"/>
      <c r="D10" s="40"/>
      <c r="E10" s="42"/>
      <c r="F10" s="43"/>
      <c r="G10" s="44"/>
      <c r="H10" s="31">
        <f t="shared" ref="H10:R10" si="5">IF($E10&lt;I$4,($G10*1.3)/4,0)</f>
        <v>0</v>
      </c>
      <c r="I10" s="33">
        <f t="shared" si="5"/>
        <v>0</v>
      </c>
      <c r="J10" s="33">
        <f t="shared" si="5"/>
        <v>0</v>
      </c>
      <c r="K10" s="33">
        <f t="shared" si="5"/>
        <v>0</v>
      </c>
      <c r="L10" s="33">
        <f t="shared" si="5"/>
        <v>0</v>
      </c>
      <c r="M10" s="33">
        <f t="shared" si="5"/>
        <v>0</v>
      </c>
      <c r="N10" s="33">
        <f t="shared" si="5"/>
        <v>0</v>
      </c>
      <c r="O10" s="33">
        <f t="shared" si="5"/>
        <v>0</v>
      </c>
      <c r="P10" s="33">
        <f t="shared" si="5"/>
        <v>0</v>
      </c>
      <c r="Q10" s="33">
        <f t="shared" si="5"/>
        <v>0</v>
      </c>
      <c r="R10" s="33">
        <f t="shared" si="5"/>
        <v>0</v>
      </c>
      <c r="S10" s="33">
        <f t="shared" si="1"/>
        <v>0</v>
      </c>
      <c r="T10" s="5"/>
    </row>
    <row r="11" spans="1:20" hidden="1" outlineLevel="1" x14ac:dyDescent="0.25">
      <c r="A11" s="40"/>
      <c r="B11" s="40"/>
      <c r="C11" s="35"/>
      <c r="D11" s="40"/>
      <c r="E11" s="42"/>
      <c r="F11" s="43"/>
      <c r="G11" s="44"/>
      <c r="H11" s="31">
        <f t="shared" ref="H11:R11" si="6">IF($E11&lt;I$4,($G11*1.3)/4,0)</f>
        <v>0</v>
      </c>
      <c r="I11" s="33">
        <f t="shared" si="6"/>
        <v>0</v>
      </c>
      <c r="J11" s="33">
        <f t="shared" si="6"/>
        <v>0</v>
      </c>
      <c r="K11" s="33">
        <f t="shared" si="6"/>
        <v>0</v>
      </c>
      <c r="L11" s="33">
        <f t="shared" si="6"/>
        <v>0</v>
      </c>
      <c r="M11" s="33">
        <f t="shared" si="6"/>
        <v>0</v>
      </c>
      <c r="N11" s="33">
        <f t="shared" si="6"/>
        <v>0</v>
      </c>
      <c r="O11" s="33">
        <f t="shared" si="6"/>
        <v>0</v>
      </c>
      <c r="P11" s="33">
        <f t="shared" si="6"/>
        <v>0</v>
      </c>
      <c r="Q11" s="33">
        <f t="shared" si="6"/>
        <v>0</v>
      </c>
      <c r="R11" s="33">
        <f t="shared" si="6"/>
        <v>0</v>
      </c>
      <c r="S11" s="33">
        <f t="shared" si="1"/>
        <v>0</v>
      </c>
      <c r="T11" s="5"/>
    </row>
    <row r="12" spans="1:20" hidden="1" outlineLevel="1" x14ac:dyDescent="0.25">
      <c r="A12" s="40"/>
      <c r="B12" s="40"/>
      <c r="C12" s="35"/>
      <c r="D12" s="40"/>
      <c r="E12" s="42"/>
      <c r="F12" s="43"/>
      <c r="G12" s="44"/>
      <c r="H12" s="31">
        <f t="shared" ref="H12:R12" si="7">IF($E12&lt;I$4,($G12*1.3)/4,0)</f>
        <v>0</v>
      </c>
      <c r="I12" s="33">
        <f t="shared" si="7"/>
        <v>0</v>
      </c>
      <c r="J12" s="33">
        <f t="shared" si="7"/>
        <v>0</v>
      </c>
      <c r="K12" s="33">
        <f t="shared" si="7"/>
        <v>0</v>
      </c>
      <c r="L12" s="33">
        <f t="shared" si="7"/>
        <v>0</v>
      </c>
      <c r="M12" s="33">
        <f t="shared" si="7"/>
        <v>0</v>
      </c>
      <c r="N12" s="33">
        <f t="shared" si="7"/>
        <v>0</v>
      </c>
      <c r="O12" s="33">
        <f t="shared" si="7"/>
        <v>0</v>
      </c>
      <c r="P12" s="33">
        <f t="shared" si="7"/>
        <v>0</v>
      </c>
      <c r="Q12" s="33">
        <f t="shared" si="7"/>
        <v>0</v>
      </c>
      <c r="R12" s="33">
        <f t="shared" si="7"/>
        <v>0</v>
      </c>
      <c r="S12" s="33">
        <f t="shared" si="1"/>
        <v>0</v>
      </c>
      <c r="T12" s="5"/>
    </row>
    <row r="13" spans="1:20" hidden="1" outlineLevel="1" x14ac:dyDescent="0.25">
      <c r="A13" s="40"/>
      <c r="B13" s="40"/>
      <c r="C13" s="35"/>
      <c r="D13" s="40"/>
      <c r="E13" s="42"/>
      <c r="F13" s="43"/>
      <c r="G13" s="44"/>
      <c r="H13" s="31">
        <f t="shared" ref="H13:R13" si="8">IF($E13&lt;I$4,($G13*1.3)/4,0)</f>
        <v>0</v>
      </c>
      <c r="I13" s="33">
        <f t="shared" si="8"/>
        <v>0</v>
      </c>
      <c r="J13" s="33">
        <f t="shared" si="8"/>
        <v>0</v>
      </c>
      <c r="K13" s="33">
        <f t="shared" si="8"/>
        <v>0</v>
      </c>
      <c r="L13" s="33">
        <f t="shared" si="8"/>
        <v>0</v>
      </c>
      <c r="M13" s="33">
        <f t="shared" si="8"/>
        <v>0</v>
      </c>
      <c r="N13" s="33">
        <f t="shared" si="8"/>
        <v>0</v>
      </c>
      <c r="O13" s="33">
        <f t="shared" si="8"/>
        <v>0</v>
      </c>
      <c r="P13" s="33">
        <f t="shared" si="8"/>
        <v>0</v>
      </c>
      <c r="Q13" s="33">
        <f t="shared" si="8"/>
        <v>0</v>
      </c>
      <c r="R13" s="33">
        <f t="shared" si="8"/>
        <v>0</v>
      </c>
      <c r="S13" s="33">
        <f t="shared" si="1"/>
        <v>0</v>
      </c>
      <c r="T13" s="5"/>
    </row>
    <row r="14" spans="1:20" hidden="1" outlineLevel="1" x14ac:dyDescent="0.25">
      <c r="A14" s="40"/>
      <c r="B14" s="40"/>
      <c r="C14" s="35"/>
      <c r="D14" s="40"/>
      <c r="E14" s="42"/>
      <c r="F14" s="43"/>
      <c r="G14" s="44"/>
      <c r="H14" s="31">
        <f t="shared" ref="H14:R14" si="9">IF($E14&lt;I$4,($G14*1.3)/4,0)</f>
        <v>0</v>
      </c>
      <c r="I14" s="33">
        <f t="shared" si="9"/>
        <v>0</v>
      </c>
      <c r="J14" s="33">
        <f t="shared" si="9"/>
        <v>0</v>
      </c>
      <c r="K14" s="33">
        <f t="shared" si="9"/>
        <v>0</v>
      </c>
      <c r="L14" s="33">
        <f t="shared" si="9"/>
        <v>0</v>
      </c>
      <c r="M14" s="33">
        <f t="shared" si="9"/>
        <v>0</v>
      </c>
      <c r="N14" s="33">
        <f t="shared" si="9"/>
        <v>0</v>
      </c>
      <c r="O14" s="33">
        <f t="shared" si="9"/>
        <v>0</v>
      </c>
      <c r="P14" s="33">
        <f t="shared" si="9"/>
        <v>0</v>
      </c>
      <c r="Q14" s="33">
        <f t="shared" si="9"/>
        <v>0</v>
      </c>
      <c r="R14" s="33">
        <f t="shared" si="9"/>
        <v>0</v>
      </c>
      <c r="S14" s="33">
        <f t="shared" si="1"/>
        <v>0</v>
      </c>
      <c r="T14" s="5"/>
    </row>
    <row r="15" spans="1:20" hidden="1" outlineLevel="1" x14ac:dyDescent="0.25">
      <c r="A15" s="40"/>
      <c r="B15" s="40"/>
      <c r="C15" s="35"/>
      <c r="D15" s="40"/>
      <c r="E15" s="42"/>
      <c r="F15" s="43"/>
      <c r="G15" s="44"/>
      <c r="H15" s="31">
        <f t="shared" ref="H15:R15" si="10">IF($E15&lt;I$4,($G15*1.3)/4,0)</f>
        <v>0</v>
      </c>
      <c r="I15" s="33">
        <f t="shared" si="10"/>
        <v>0</v>
      </c>
      <c r="J15" s="33">
        <f t="shared" si="10"/>
        <v>0</v>
      </c>
      <c r="K15" s="33">
        <f t="shared" si="10"/>
        <v>0</v>
      </c>
      <c r="L15" s="33">
        <f t="shared" si="10"/>
        <v>0</v>
      </c>
      <c r="M15" s="33">
        <f t="shared" si="10"/>
        <v>0</v>
      </c>
      <c r="N15" s="33">
        <f t="shared" si="10"/>
        <v>0</v>
      </c>
      <c r="O15" s="33">
        <f t="shared" si="10"/>
        <v>0</v>
      </c>
      <c r="P15" s="33">
        <f t="shared" si="10"/>
        <v>0</v>
      </c>
      <c r="Q15" s="33">
        <f t="shared" si="10"/>
        <v>0</v>
      </c>
      <c r="R15" s="33">
        <f t="shared" si="10"/>
        <v>0</v>
      </c>
      <c r="S15" s="33">
        <f t="shared" si="1"/>
        <v>0</v>
      </c>
      <c r="T15" s="5"/>
    </row>
    <row r="16" spans="1:20" hidden="1" outlineLevel="1" x14ac:dyDescent="0.25">
      <c r="A16" s="40"/>
      <c r="B16" s="40"/>
      <c r="C16" s="35"/>
      <c r="D16" s="40"/>
      <c r="E16" s="42"/>
      <c r="F16" s="43"/>
      <c r="G16" s="44"/>
      <c r="H16" s="31">
        <f t="shared" ref="H16:R16" si="11">IF($E16&lt;I$4,($G16*1.3)/4,0)</f>
        <v>0</v>
      </c>
      <c r="I16" s="33">
        <f t="shared" si="11"/>
        <v>0</v>
      </c>
      <c r="J16" s="33">
        <f t="shared" si="11"/>
        <v>0</v>
      </c>
      <c r="K16" s="33">
        <f t="shared" si="11"/>
        <v>0</v>
      </c>
      <c r="L16" s="33">
        <f t="shared" si="11"/>
        <v>0</v>
      </c>
      <c r="M16" s="33">
        <f t="shared" si="11"/>
        <v>0</v>
      </c>
      <c r="N16" s="33">
        <f t="shared" si="11"/>
        <v>0</v>
      </c>
      <c r="O16" s="33">
        <f t="shared" si="11"/>
        <v>0</v>
      </c>
      <c r="P16" s="33">
        <f t="shared" si="11"/>
        <v>0</v>
      </c>
      <c r="Q16" s="33">
        <f t="shared" si="11"/>
        <v>0</v>
      </c>
      <c r="R16" s="33">
        <f t="shared" si="11"/>
        <v>0</v>
      </c>
      <c r="S16" s="33">
        <f t="shared" si="1"/>
        <v>0</v>
      </c>
      <c r="T16" s="5"/>
    </row>
    <row r="17" spans="1:20" hidden="1" outlineLevel="1" x14ac:dyDescent="0.25">
      <c r="A17" s="40"/>
      <c r="B17" s="40"/>
      <c r="C17" s="35"/>
      <c r="D17" s="40"/>
      <c r="E17" s="40"/>
      <c r="F17" s="43"/>
      <c r="G17" s="44"/>
      <c r="H17" s="31">
        <f t="shared" ref="H17:R17" si="12">IF($E17&lt;I$4,($G17*1.3)/4,0)</f>
        <v>0</v>
      </c>
      <c r="I17" s="33">
        <f t="shared" si="12"/>
        <v>0</v>
      </c>
      <c r="J17" s="33">
        <f t="shared" si="12"/>
        <v>0</v>
      </c>
      <c r="K17" s="33">
        <f t="shared" si="12"/>
        <v>0</v>
      </c>
      <c r="L17" s="33">
        <f t="shared" si="12"/>
        <v>0</v>
      </c>
      <c r="M17" s="33">
        <f t="shared" si="12"/>
        <v>0</v>
      </c>
      <c r="N17" s="33">
        <f t="shared" si="12"/>
        <v>0</v>
      </c>
      <c r="O17" s="33">
        <f t="shared" si="12"/>
        <v>0</v>
      </c>
      <c r="P17" s="33">
        <f t="shared" si="12"/>
        <v>0</v>
      </c>
      <c r="Q17" s="33">
        <f t="shared" si="12"/>
        <v>0</v>
      </c>
      <c r="R17" s="33">
        <f t="shared" si="12"/>
        <v>0</v>
      </c>
      <c r="S17" s="33">
        <f t="shared" si="1"/>
        <v>0</v>
      </c>
      <c r="T17" s="5"/>
    </row>
    <row r="18" spans="1:20" hidden="1" outlineLevel="1" x14ac:dyDescent="0.25">
      <c r="A18" s="40"/>
      <c r="B18" s="40"/>
      <c r="C18" s="35"/>
      <c r="D18" s="40"/>
      <c r="E18" s="40"/>
      <c r="F18" s="43"/>
      <c r="G18" s="44"/>
      <c r="H18" s="31">
        <f t="shared" ref="H18:R18" si="13">IF($E18&lt;I$4,($G18*1.3)/4,0)</f>
        <v>0</v>
      </c>
      <c r="I18" s="33">
        <f t="shared" si="13"/>
        <v>0</v>
      </c>
      <c r="J18" s="33">
        <f t="shared" si="13"/>
        <v>0</v>
      </c>
      <c r="K18" s="33">
        <f t="shared" si="13"/>
        <v>0</v>
      </c>
      <c r="L18" s="33">
        <f t="shared" si="13"/>
        <v>0</v>
      </c>
      <c r="M18" s="33">
        <f t="shared" si="13"/>
        <v>0</v>
      </c>
      <c r="N18" s="33">
        <f t="shared" si="13"/>
        <v>0</v>
      </c>
      <c r="O18" s="33">
        <f t="shared" si="13"/>
        <v>0</v>
      </c>
      <c r="P18" s="33">
        <f t="shared" si="13"/>
        <v>0</v>
      </c>
      <c r="Q18" s="33">
        <f t="shared" si="13"/>
        <v>0</v>
      </c>
      <c r="R18" s="33">
        <f t="shared" si="13"/>
        <v>0</v>
      </c>
      <c r="S18" s="33">
        <f t="shared" si="1"/>
        <v>0</v>
      </c>
      <c r="T18" s="5"/>
    </row>
    <row r="19" spans="1:20" hidden="1" outlineLevel="1" x14ac:dyDescent="0.25">
      <c r="A19" s="40"/>
      <c r="B19" s="40"/>
      <c r="C19" s="35"/>
      <c r="D19" s="40"/>
      <c r="E19" s="40"/>
      <c r="F19" s="43"/>
      <c r="G19" s="44"/>
      <c r="H19" s="31">
        <f t="shared" ref="H19:R19" si="14">IF($E19&lt;I$4,($G19*1.3)/4,0)</f>
        <v>0</v>
      </c>
      <c r="I19" s="33">
        <f t="shared" si="14"/>
        <v>0</v>
      </c>
      <c r="J19" s="33">
        <f t="shared" si="14"/>
        <v>0</v>
      </c>
      <c r="K19" s="33">
        <f t="shared" si="14"/>
        <v>0</v>
      </c>
      <c r="L19" s="33">
        <f t="shared" si="14"/>
        <v>0</v>
      </c>
      <c r="M19" s="33">
        <f t="shared" si="14"/>
        <v>0</v>
      </c>
      <c r="N19" s="33">
        <f t="shared" si="14"/>
        <v>0</v>
      </c>
      <c r="O19" s="33">
        <f t="shared" si="14"/>
        <v>0</v>
      </c>
      <c r="P19" s="33">
        <f t="shared" si="14"/>
        <v>0</v>
      </c>
      <c r="Q19" s="33">
        <f t="shared" si="14"/>
        <v>0</v>
      </c>
      <c r="R19" s="33">
        <f t="shared" si="14"/>
        <v>0</v>
      </c>
      <c r="S19" s="33">
        <f t="shared" si="1"/>
        <v>0</v>
      </c>
      <c r="T19" s="5"/>
    </row>
    <row r="20" spans="1:20" hidden="1" outlineLevel="1" x14ac:dyDescent="0.25">
      <c r="A20" s="40"/>
      <c r="B20" s="40"/>
      <c r="C20" s="35"/>
      <c r="D20" s="40"/>
      <c r="E20" s="43"/>
      <c r="F20" s="43"/>
      <c r="G20" s="44"/>
      <c r="H20" s="31">
        <f t="shared" ref="H20:R20" si="15">IF($E20&lt;I$4,($G20*1.3)/4,0)</f>
        <v>0</v>
      </c>
      <c r="I20" s="33">
        <f t="shared" si="15"/>
        <v>0</v>
      </c>
      <c r="J20" s="33">
        <f t="shared" si="15"/>
        <v>0</v>
      </c>
      <c r="K20" s="33">
        <f t="shared" si="15"/>
        <v>0</v>
      </c>
      <c r="L20" s="33">
        <f t="shared" si="15"/>
        <v>0</v>
      </c>
      <c r="M20" s="33">
        <f t="shared" si="15"/>
        <v>0</v>
      </c>
      <c r="N20" s="33">
        <f t="shared" si="15"/>
        <v>0</v>
      </c>
      <c r="O20" s="33">
        <f t="shared" si="15"/>
        <v>0</v>
      </c>
      <c r="P20" s="33">
        <f t="shared" si="15"/>
        <v>0</v>
      </c>
      <c r="Q20" s="33">
        <f t="shared" si="15"/>
        <v>0</v>
      </c>
      <c r="R20" s="33">
        <f t="shared" si="15"/>
        <v>0</v>
      </c>
      <c r="S20" s="33">
        <f t="shared" si="1"/>
        <v>0</v>
      </c>
      <c r="T20" s="5"/>
    </row>
    <row r="21" spans="1:20" hidden="1" outlineLevel="1" x14ac:dyDescent="0.25">
      <c r="A21" s="40"/>
      <c r="B21" s="40"/>
      <c r="C21" s="35"/>
      <c r="D21" s="40"/>
      <c r="E21" s="43"/>
      <c r="F21" s="43"/>
      <c r="G21" s="44"/>
      <c r="H21" s="31">
        <f t="shared" ref="H21:R21" si="16">IF($E21&lt;I$4,($G21*1.3)/4,0)</f>
        <v>0</v>
      </c>
      <c r="I21" s="33">
        <f t="shared" si="16"/>
        <v>0</v>
      </c>
      <c r="J21" s="33">
        <f t="shared" si="16"/>
        <v>0</v>
      </c>
      <c r="K21" s="33">
        <f t="shared" si="16"/>
        <v>0</v>
      </c>
      <c r="L21" s="33">
        <f t="shared" si="16"/>
        <v>0</v>
      </c>
      <c r="M21" s="33">
        <f t="shared" si="16"/>
        <v>0</v>
      </c>
      <c r="N21" s="33">
        <f t="shared" si="16"/>
        <v>0</v>
      </c>
      <c r="O21" s="33">
        <f t="shared" si="16"/>
        <v>0</v>
      </c>
      <c r="P21" s="33">
        <f t="shared" si="16"/>
        <v>0</v>
      </c>
      <c r="Q21" s="33">
        <f t="shared" si="16"/>
        <v>0</v>
      </c>
      <c r="R21" s="33">
        <f t="shared" si="16"/>
        <v>0</v>
      </c>
      <c r="S21" s="33">
        <f t="shared" si="1"/>
        <v>0</v>
      </c>
      <c r="T21" s="5"/>
    </row>
    <row r="22" spans="1:20" hidden="1" outlineLevel="1" x14ac:dyDescent="0.25">
      <c r="A22" s="66"/>
      <c r="B22" s="66"/>
      <c r="C22" s="76"/>
      <c r="D22" s="77"/>
      <c r="E22" s="66"/>
      <c r="F22" s="66"/>
      <c r="G22" s="79"/>
      <c r="H22" s="31">
        <f t="shared" ref="H22:R22" si="17">IF($E22&lt;I$4,($G22*1.3)/4,0)</f>
        <v>0</v>
      </c>
      <c r="I22" s="33">
        <f t="shared" si="17"/>
        <v>0</v>
      </c>
      <c r="J22" s="33">
        <f t="shared" si="17"/>
        <v>0</v>
      </c>
      <c r="K22" s="33">
        <f t="shared" si="17"/>
        <v>0</v>
      </c>
      <c r="L22" s="33">
        <f t="shared" si="17"/>
        <v>0</v>
      </c>
      <c r="M22" s="33">
        <f t="shared" si="17"/>
        <v>0</v>
      </c>
      <c r="N22" s="33">
        <f t="shared" si="17"/>
        <v>0</v>
      </c>
      <c r="O22" s="33">
        <f t="shared" si="17"/>
        <v>0</v>
      </c>
      <c r="P22" s="33">
        <f t="shared" si="17"/>
        <v>0</v>
      </c>
      <c r="Q22" s="33">
        <f t="shared" si="17"/>
        <v>0</v>
      </c>
      <c r="R22" s="33">
        <f t="shared" si="17"/>
        <v>0</v>
      </c>
      <c r="S22" s="33">
        <f t="shared" si="1"/>
        <v>0</v>
      </c>
      <c r="T22" s="5"/>
    </row>
    <row r="23" spans="1:20" hidden="1" outlineLevel="1" x14ac:dyDescent="0.25">
      <c r="A23" s="66"/>
      <c r="B23" s="66"/>
      <c r="C23" s="76"/>
      <c r="D23" s="77"/>
      <c r="E23" s="66"/>
      <c r="F23" s="66"/>
      <c r="G23" s="79"/>
      <c r="H23" s="31">
        <f t="shared" ref="H23:R23" si="18">IF($E23&lt;I$4,($G23*1.3)/4,0)</f>
        <v>0</v>
      </c>
      <c r="I23" s="33">
        <f t="shared" si="18"/>
        <v>0</v>
      </c>
      <c r="J23" s="33">
        <f t="shared" si="18"/>
        <v>0</v>
      </c>
      <c r="K23" s="33">
        <f t="shared" si="18"/>
        <v>0</v>
      </c>
      <c r="L23" s="33">
        <f t="shared" si="18"/>
        <v>0</v>
      </c>
      <c r="M23" s="33">
        <f t="shared" si="18"/>
        <v>0</v>
      </c>
      <c r="N23" s="33">
        <f t="shared" si="18"/>
        <v>0</v>
      </c>
      <c r="O23" s="33">
        <f t="shared" si="18"/>
        <v>0</v>
      </c>
      <c r="P23" s="33">
        <f t="shared" si="18"/>
        <v>0</v>
      </c>
      <c r="Q23" s="33">
        <f t="shared" si="18"/>
        <v>0</v>
      </c>
      <c r="R23" s="33">
        <f t="shared" si="18"/>
        <v>0</v>
      </c>
      <c r="S23" s="33">
        <f t="shared" si="1"/>
        <v>0</v>
      </c>
      <c r="T23" s="5"/>
    </row>
    <row r="24" spans="1:20" hidden="1" outlineLevel="1" x14ac:dyDescent="0.25">
      <c r="A24" s="66"/>
      <c r="B24" s="66"/>
      <c r="C24" s="76"/>
      <c r="D24" s="77"/>
      <c r="E24" s="66"/>
      <c r="F24" s="66"/>
      <c r="G24" s="79"/>
      <c r="H24" s="31">
        <f t="shared" ref="H24:R24" si="19">IF($E24&lt;I$4,($G24*1.3)/4,0)</f>
        <v>0</v>
      </c>
      <c r="I24" s="33">
        <f t="shared" si="19"/>
        <v>0</v>
      </c>
      <c r="J24" s="33">
        <f t="shared" si="19"/>
        <v>0</v>
      </c>
      <c r="K24" s="33">
        <f t="shared" si="19"/>
        <v>0</v>
      </c>
      <c r="L24" s="33">
        <f t="shared" si="19"/>
        <v>0</v>
      </c>
      <c r="M24" s="33">
        <f t="shared" si="19"/>
        <v>0</v>
      </c>
      <c r="N24" s="33">
        <f t="shared" si="19"/>
        <v>0</v>
      </c>
      <c r="O24" s="33">
        <f t="shared" si="19"/>
        <v>0</v>
      </c>
      <c r="P24" s="33">
        <f t="shared" si="19"/>
        <v>0</v>
      </c>
      <c r="Q24" s="33">
        <f t="shared" si="19"/>
        <v>0</v>
      </c>
      <c r="R24" s="33">
        <f t="shared" si="19"/>
        <v>0</v>
      </c>
      <c r="S24" s="33">
        <f t="shared" si="1"/>
        <v>0</v>
      </c>
      <c r="T24" s="5"/>
    </row>
    <row r="25" spans="1:20" hidden="1" outlineLevel="1" x14ac:dyDescent="0.25">
      <c r="A25" s="50"/>
      <c r="B25" s="50"/>
      <c r="C25" s="50"/>
      <c r="D25" s="50"/>
      <c r="E25" s="50"/>
      <c r="F25" s="50"/>
      <c r="G25" s="50"/>
      <c r="H25" s="81">
        <f t="shared" ref="H25:S25" si="20">SUM(H6:H24)</f>
        <v>0</v>
      </c>
      <c r="I25" s="82">
        <f t="shared" si="20"/>
        <v>0</v>
      </c>
      <c r="J25" s="82">
        <f t="shared" si="20"/>
        <v>0</v>
      </c>
      <c r="K25" s="82">
        <f t="shared" si="20"/>
        <v>0</v>
      </c>
      <c r="L25" s="82">
        <f t="shared" si="20"/>
        <v>0</v>
      </c>
      <c r="M25" s="82">
        <f t="shared" si="20"/>
        <v>0</v>
      </c>
      <c r="N25" s="82">
        <f t="shared" si="20"/>
        <v>0</v>
      </c>
      <c r="O25" s="82">
        <f t="shared" si="20"/>
        <v>0</v>
      </c>
      <c r="P25" s="82">
        <f t="shared" si="20"/>
        <v>0</v>
      </c>
      <c r="Q25" s="82">
        <f t="shared" si="20"/>
        <v>0</v>
      </c>
      <c r="R25" s="82">
        <f t="shared" si="20"/>
        <v>0</v>
      </c>
      <c r="S25" s="82">
        <f t="shared" si="20"/>
        <v>0</v>
      </c>
      <c r="T25" s="5"/>
    </row>
    <row r="26" spans="1:20" collapsed="1" x14ac:dyDescent="0.25">
      <c r="B26" s="5"/>
      <c r="C26" s="5"/>
      <c r="D26" s="5"/>
      <c r="E26" s="5"/>
      <c r="F26" s="5"/>
      <c r="G26" s="5"/>
      <c r="H26" s="5"/>
      <c r="I26" s="5"/>
      <c r="J26" s="5"/>
      <c r="K26" s="5"/>
      <c r="L26" s="5"/>
      <c r="M26" s="5"/>
      <c r="N26" s="5"/>
      <c r="O26" s="5"/>
      <c r="P26" s="5"/>
      <c r="Q26" s="5"/>
      <c r="R26" s="5"/>
      <c r="S26" s="5"/>
    </row>
    <row r="27" spans="1:20" ht="18.75" x14ac:dyDescent="0.3">
      <c r="A27" s="7" t="s">
        <v>67</v>
      </c>
      <c r="B27" s="5"/>
      <c r="C27" s="5"/>
      <c r="D27" s="5"/>
      <c r="E27" s="5"/>
      <c r="F27" s="5"/>
      <c r="G27" s="5"/>
      <c r="H27" s="790">
        <v>2019</v>
      </c>
      <c r="I27" s="789"/>
      <c r="J27" s="787">
        <v>2020</v>
      </c>
      <c r="K27" s="788"/>
      <c r="L27" s="788"/>
      <c r="M27" s="789"/>
      <c r="N27" s="787">
        <v>2021</v>
      </c>
      <c r="O27" s="788"/>
      <c r="P27" s="788"/>
      <c r="Q27" s="789"/>
      <c r="R27" s="790">
        <v>2022</v>
      </c>
      <c r="S27" s="789"/>
    </row>
    <row r="28" spans="1:20" ht="30" x14ac:dyDescent="0.25">
      <c r="A28" s="54" t="s">
        <v>8</v>
      </c>
      <c r="B28" s="54" t="s">
        <v>11</v>
      </c>
      <c r="C28" s="54" t="s">
        <v>71</v>
      </c>
      <c r="D28" s="791" t="s">
        <v>72</v>
      </c>
      <c r="E28" s="792"/>
      <c r="F28" s="793"/>
      <c r="G28" s="55" t="s">
        <v>73</v>
      </c>
      <c r="H28" s="18" t="s">
        <v>10</v>
      </c>
      <c r="I28" s="20" t="s">
        <v>17</v>
      </c>
      <c r="J28" s="22" t="s">
        <v>18</v>
      </c>
      <c r="K28" s="18" t="s">
        <v>19</v>
      </c>
      <c r="L28" s="18" t="s">
        <v>10</v>
      </c>
      <c r="M28" s="20" t="s">
        <v>17</v>
      </c>
      <c r="N28" s="22" t="s">
        <v>18</v>
      </c>
      <c r="O28" s="18" t="s">
        <v>19</v>
      </c>
      <c r="P28" s="18" t="s">
        <v>10</v>
      </c>
      <c r="Q28" s="20" t="s">
        <v>17</v>
      </c>
      <c r="R28" s="22" t="s">
        <v>18</v>
      </c>
      <c r="S28" s="18" t="s">
        <v>19</v>
      </c>
    </row>
    <row r="29" spans="1:20" x14ac:dyDescent="0.25">
      <c r="A29" s="119" t="s">
        <v>158</v>
      </c>
      <c r="B29" s="40"/>
      <c r="C29" s="40"/>
      <c r="D29" s="794"/>
      <c r="E29" s="795"/>
      <c r="F29" s="796"/>
      <c r="G29" s="58"/>
      <c r="H29" s="56"/>
      <c r="I29" s="57"/>
      <c r="J29" s="57"/>
      <c r="K29" s="57"/>
      <c r="L29" s="57"/>
      <c r="M29" s="57"/>
      <c r="N29" s="57"/>
      <c r="O29" s="57"/>
      <c r="P29" s="57"/>
      <c r="Q29" s="57"/>
      <c r="R29" s="57"/>
      <c r="S29" s="57"/>
    </row>
    <row r="30" spans="1:20" x14ac:dyDescent="0.25">
      <c r="A30" s="40"/>
      <c r="B30" s="40"/>
      <c r="C30" s="40"/>
      <c r="D30" s="794"/>
      <c r="E30" s="795"/>
      <c r="F30" s="796"/>
      <c r="G30" s="58"/>
      <c r="H30" s="56"/>
      <c r="I30" s="57"/>
      <c r="J30" s="57"/>
      <c r="K30" s="57"/>
      <c r="L30" s="57"/>
      <c r="M30" s="57"/>
      <c r="N30" s="57"/>
      <c r="O30" s="57"/>
      <c r="P30" s="57"/>
      <c r="Q30" s="57"/>
      <c r="R30" s="57"/>
      <c r="S30" s="57"/>
    </row>
    <row r="31" spans="1:20" x14ac:dyDescent="0.25">
      <c r="A31" s="40"/>
      <c r="B31" s="40"/>
      <c r="C31" s="40"/>
      <c r="D31" s="794"/>
      <c r="E31" s="795"/>
      <c r="F31" s="796"/>
      <c r="G31" s="58"/>
      <c r="H31" s="56"/>
      <c r="I31" s="59"/>
      <c r="J31" s="57"/>
      <c r="K31" s="57"/>
      <c r="L31" s="57"/>
      <c r="M31" s="57"/>
      <c r="N31" s="57"/>
      <c r="O31" s="57"/>
      <c r="P31" s="57"/>
      <c r="Q31" s="57"/>
      <c r="R31" s="57"/>
      <c r="S31" s="57"/>
    </row>
    <row r="32" spans="1:20" x14ac:dyDescent="0.25">
      <c r="A32" s="40"/>
      <c r="B32" s="40"/>
      <c r="C32" s="40"/>
      <c r="D32" s="794"/>
      <c r="E32" s="795"/>
      <c r="F32" s="796"/>
      <c r="G32" s="58"/>
      <c r="H32" s="56"/>
      <c r="I32" s="59"/>
      <c r="J32" s="57"/>
      <c r="K32" s="57"/>
      <c r="L32" s="57"/>
      <c r="M32" s="57"/>
      <c r="N32" s="57"/>
      <c r="O32" s="57"/>
      <c r="P32" s="57"/>
      <c r="Q32" s="57"/>
      <c r="R32" s="57"/>
      <c r="S32" s="57"/>
    </row>
    <row r="33" spans="1:19" x14ac:dyDescent="0.25">
      <c r="A33" s="40"/>
      <c r="B33" s="40"/>
      <c r="C33" s="40"/>
      <c r="D33" s="794"/>
      <c r="E33" s="795"/>
      <c r="F33" s="796"/>
      <c r="G33" s="58"/>
      <c r="H33" s="56"/>
      <c r="I33" s="59"/>
      <c r="J33" s="57"/>
      <c r="K33" s="57"/>
      <c r="L33" s="57"/>
      <c r="M33" s="57"/>
      <c r="N33" s="57"/>
      <c r="O33" s="57"/>
      <c r="P33" s="57"/>
      <c r="Q33" s="57"/>
      <c r="R33" s="57"/>
      <c r="S33" s="57"/>
    </row>
    <row r="34" spans="1:19" x14ac:dyDescent="0.25">
      <c r="A34" s="40"/>
      <c r="B34" s="40"/>
      <c r="C34" s="40"/>
      <c r="D34" s="794"/>
      <c r="E34" s="795"/>
      <c r="F34" s="796"/>
      <c r="G34" s="58"/>
      <c r="H34" s="56"/>
      <c r="I34" s="59"/>
      <c r="J34" s="57"/>
      <c r="K34" s="57"/>
      <c r="L34" s="57"/>
      <c r="M34" s="57"/>
      <c r="N34" s="57"/>
      <c r="O34" s="57"/>
      <c r="P34" s="57"/>
      <c r="Q34" s="57"/>
      <c r="R34" s="57"/>
      <c r="S34" s="57"/>
    </row>
    <row r="35" spans="1:19" x14ac:dyDescent="0.25">
      <c r="A35" s="40"/>
      <c r="B35" s="40"/>
      <c r="C35" s="60"/>
      <c r="D35" s="794"/>
      <c r="E35" s="795"/>
      <c r="F35" s="796"/>
      <c r="G35" s="58"/>
      <c r="H35" s="63"/>
      <c r="I35" s="57"/>
      <c r="J35" s="57"/>
      <c r="K35" s="57"/>
      <c r="L35" s="57"/>
      <c r="M35" s="57"/>
      <c r="N35" s="57"/>
      <c r="O35" s="57"/>
      <c r="P35" s="57"/>
      <c r="Q35" s="57"/>
      <c r="R35" s="57"/>
      <c r="S35" s="57"/>
    </row>
    <row r="36" spans="1:19" x14ac:dyDescent="0.25">
      <c r="A36" s="40"/>
      <c r="B36" s="40"/>
      <c r="C36" s="60"/>
      <c r="D36" s="794"/>
      <c r="E36" s="795"/>
      <c r="F36" s="796"/>
      <c r="G36" s="58"/>
      <c r="H36" s="63"/>
      <c r="I36" s="57"/>
      <c r="J36" s="57"/>
      <c r="K36" s="57"/>
      <c r="L36" s="57"/>
      <c r="M36" s="57"/>
      <c r="N36" s="57"/>
      <c r="O36" s="57"/>
      <c r="P36" s="57"/>
      <c r="Q36" s="57"/>
      <c r="R36" s="57"/>
      <c r="S36" s="57"/>
    </row>
    <row r="37" spans="1:19" x14ac:dyDescent="0.25">
      <c r="A37" s="40"/>
      <c r="B37" s="40"/>
      <c r="C37" s="60"/>
      <c r="D37" s="794"/>
      <c r="E37" s="795"/>
      <c r="F37" s="796"/>
      <c r="G37" s="58"/>
      <c r="H37" s="63"/>
      <c r="I37" s="57"/>
      <c r="J37" s="57"/>
      <c r="K37" s="57"/>
      <c r="L37" s="57"/>
      <c r="M37" s="57"/>
      <c r="N37" s="57"/>
      <c r="O37" s="57"/>
      <c r="P37" s="57"/>
      <c r="Q37" s="57"/>
      <c r="R37" s="57"/>
      <c r="S37" s="57"/>
    </row>
    <row r="38" spans="1:19" x14ac:dyDescent="0.25">
      <c r="A38" s="40"/>
      <c r="B38" s="40"/>
      <c r="C38" s="40"/>
      <c r="D38" s="794"/>
      <c r="E38" s="795"/>
      <c r="F38" s="796"/>
      <c r="G38" s="58"/>
      <c r="H38" s="63"/>
      <c r="I38" s="57"/>
      <c r="J38" s="57"/>
      <c r="K38" s="57"/>
      <c r="L38" s="57"/>
      <c r="M38" s="57"/>
      <c r="N38" s="57"/>
      <c r="O38" s="57"/>
      <c r="P38" s="57"/>
      <c r="Q38" s="57"/>
      <c r="R38" s="57"/>
      <c r="S38" s="57"/>
    </row>
    <row r="39" spans="1:19" x14ac:dyDescent="0.25">
      <c r="A39" s="66"/>
      <c r="B39" s="40"/>
      <c r="C39" s="40"/>
      <c r="D39" s="794"/>
      <c r="E39" s="795"/>
      <c r="F39" s="796"/>
      <c r="G39" s="68"/>
      <c r="H39" s="69"/>
      <c r="I39" s="70"/>
      <c r="J39" s="70"/>
      <c r="K39" s="70"/>
      <c r="L39" s="70"/>
      <c r="M39" s="70"/>
      <c r="N39" s="70"/>
      <c r="O39" s="70"/>
      <c r="P39" s="70"/>
      <c r="Q39" s="70"/>
      <c r="R39" s="70"/>
      <c r="S39" s="70"/>
    </row>
    <row r="40" spans="1:19" x14ac:dyDescent="0.25">
      <c r="A40" s="66"/>
      <c r="B40" s="66"/>
      <c r="C40" s="66"/>
      <c r="D40" s="794"/>
      <c r="E40" s="795"/>
      <c r="F40" s="796"/>
      <c r="G40" s="72"/>
      <c r="H40" s="74"/>
      <c r="I40" s="75"/>
      <c r="J40" s="75"/>
      <c r="K40" s="75"/>
      <c r="L40" s="75"/>
      <c r="M40" s="75"/>
      <c r="N40" s="75"/>
      <c r="O40" s="75"/>
      <c r="P40" s="75"/>
      <c r="Q40" s="75"/>
      <c r="R40" s="75"/>
      <c r="S40" s="75"/>
    </row>
    <row r="41" spans="1:19" x14ac:dyDescent="0.25">
      <c r="G41" s="108">
        <f>SUM(G29:G40)</f>
        <v>0</v>
      </c>
      <c r="H41" s="109">
        <f t="shared" ref="H41:S41" si="21">SUM(H29:H34)</f>
        <v>0</v>
      </c>
      <c r="I41" s="108">
        <f t="shared" si="21"/>
        <v>0</v>
      </c>
      <c r="J41" s="108">
        <f t="shared" si="21"/>
        <v>0</v>
      </c>
      <c r="K41" s="108">
        <f t="shared" si="21"/>
        <v>0</v>
      </c>
      <c r="L41" s="108">
        <f t="shared" si="21"/>
        <v>0</v>
      </c>
      <c r="M41" s="108">
        <f t="shared" si="21"/>
        <v>0</v>
      </c>
      <c r="N41" s="108">
        <f t="shared" si="21"/>
        <v>0</v>
      </c>
      <c r="O41" s="108">
        <f t="shared" si="21"/>
        <v>0</v>
      </c>
      <c r="P41" s="108">
        <f t="shared" si="21"/>
        <v>0</v>
      </c>
      <c r="Q41" s="108">
        <f t="shared" si="21"/>
        <v>0</v>
      </c>
      <c r="R41" s="108">
        <f t="shared" si="21"/>
        <v>0</v>
      </c>
      <c r="S41" s="108">
        <f t="shared" si="21"/>
        <v>0</v>
      </c>
    </row>
  </sheetData>
  <mergeCells count="21">
    <mergeCell ref="D34:F34"/>
    <mergeCell ref="D35:F35"/>
    <mergeCell ref="D28:F28"/>
    <mergeCell ref="D33:F33"/>
    <mergeCell ref="D32:F32"/>
    <mergeCell ref="D39:F39"/>
    <mergeCell ref="D40:F40"/>
    <mergeCell ref="D38:F38"/>
    <mergeCell ref="N3:Q3"/>
    <mergeCell ref="R3:S3"/>
    <mergeCell ref="J3:M3"/>
    <mergeCell ref="H3:I3"/>
    <mergeCell ref="J27:M27"/>
    <mergeCell ref="N27:Q27"/>
    <mergeCell ref="R27:S27"/>
    <mergeCell ref="H27:I27"/>
    <mergeCell ref="D29:F29"/>
    <mergeCell ref="D31:F31"/>
    <mergeCell ref="D30:F30"/>
    <mergeCell ref="D37:F37"/>
    <mergeCell ref="D36:F36"/>
  </mergeCells>
  <pageMargins left="0.7" right="0.7" top="0.75" bottom="0.75" header="0" footer="0"/>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41"/>
  <sheetViews>
    <sheetView showGridLines="0" zoomScale="80" zoomScaleNormal="80" workbookViewId="0">
      <selection activeCell="H51" sqref="H51"/>
    </sheetView>
  </sheetViews>
  <sheetFormatPr defaultColWidth="14.42578125" defaultRowHeight="15" customHeight="1" outlineLevelRow="2" x14ac:dyDescent="0.25"/>
  <cols>
    <col min="1" max="1" width="17.42578125" customWidth="1"/>
    <col min="2" max="2" width="29.140625" customWidth="1"/>
    <col min="3" max="3" width="20.85546875" customWidth="1"/>
    <col min="4" max="4" width="20.7109375" customWidth="1"/>
    <col min="5" max="6" width="17.140625" customWidth="1"/>
    <col min="7" max="7" width="17.28515625" customWidth="1"/>
    <col min="8" max="19" width="9.85546875" customWidth="1"/>
    <col min="20" max="20" width="7.85546875" customWidth="1"/>
    <col min="21" max="27" width="15.85546875" customWidth="1"/>
  </cols>
  <sheetData>
    <row r="1" spans="1:20" ht="23.25" x14ac:dyDescent="0.35">
      <c r="A1" s="1" t="s">
        <v>2</v>
      </c>
    </row>
    <row r="2" spans="1:20" hidden="1" outlineLevel="1" x14ac:dyDescent="0.25">
      <c r="I2" s="5"/>
      <c r="J2" s="6"/>
      <c r="K2" s="5"/>
      <c r="L2" s="5"/>
      <c r="M2" s="5"/>
      <c r="N2" s="6"/>
      <c r="O2" s="5"/>
      <c r="P2" s="5"/>
      <c r="Q2" s="5"/>
      <c r="R2" s="6"/>
      <c r="S2" s="5"/>
      <c r="T2" s="5"/>
    </row>
    <row r="3" spans="1:20" ht="18.75" hidden="1" outlineLevel="1" x14ac:dyDescent="0.3">
      <c r="A3" s="7" t="s">
        <v>4</v>
      </c>
      <c r="H3" s="790">
        <v>2019</v>
      </c>
      <c r="I3" s="789"/>
      <c r="J3" s="787">
        <v>2020</v>
      </c>
      <c r="K3" s="788"/>
      <c r="L3" s="788"/>
      <c r="M3" s="789"/>
      <c r="N3" s="787">
        <v>2021</v>
      </c>
      <c r="O3" s="788"/>
      <c r="P3" s="788"/>
      <c r="Q3" s="789"/>
      <c r="R3" s="790">
        <v>2022</v>
      </c>
      <c r="S3" s="789"/>
      <c r="T3" s="5"/>
    </row>
    <row r="4" spans="1:20" hidden="1" outlineLevel="2" x14ac:dyDescent="0.25">
      <c r="A4" s="8"/>
      <c r="B4" s="8"/>
      <c r="C4" s="8"/>
      <c r="D4" s="11"/>
      <c r="E4" s="8"/>
      <c r="F4" s="8"/>
      <c r="G4" s="11"/>
      <c r="H4" s="13">
        <v>43647</v>
      </c>
      <c r="I4" s="13">
        <v>43739</v>
      </c>
      <c r="J4" s="13">
        <v>43831</v>
      </c>
      <c r="K4" s="13">
        <v>43922</v>
      </c>
      <c r="L4" s="13">
        <v>44013</v>
      </c>
      <c r="M4" s="13">
        <v>44105</v>
      </c>
      <c r="N4" s="13">
        <v>44197</v>
      </c>
      <c r="O4" s="13">
        <v>44287</v>
      </c>
      <c r="P4" s="13">
        <v>44378</v>
      </c>
      <c r="Q4" s="13">
        <v>44470</v>
      </c>
      <c r="R4" s="13">
        <v>44562</v>
      </c>
      <c r="S4" s="13">
        <v>44652</v>
      </c>
      <c r="T4" s="5"/>
    </row>
    <row r="5" spans="1:20" ht="30" hidden="1" outlineLevel="1" collapsed="1" x14ac:dyDescent="0.25">
      <c r="A5" s="15" t="s">
        <v>8</v>
      </c>
      <c r="B5" s="15" t="s">
        <v>11</v>
      </c>
      <c r="C5" s="15" t="s">
        <v>12</v>
      </c>
      <c r="D5" s="16" t="s">
        <v>13</v>
      </c>
      <c r="E5" s="17" t="s">
        <v>14</v>
      </c>
      <c r="F5" s="17" t="s">
        <v>15</v>
      </c>
      <c r="G5" s="16" t="s">
        <v>16</v>
      </c>
      <c r="H5" s="19" t="s">
        <v>10</v>
      </c>
      <c r="I5" s="21" t="s">
        <v>17</v>
      </c>
      <c r="J5" s="23" t="s">
        <v>18</v>
      </c>
      <c r="K5" s="25" t="s">
        <v>19</v>
      </c>
      <c r="L5" s="25" t="s">
        <v>10</v>
      </c>
      <c r="M5" s="21" t="s">
        <v>17</v>
      </c>
      <c r="N5" s="23" t="s">
        <v>18</v>
      </c>
      <c r="O5" s="25" t="s">
        <v>19</v>
      </c>
      <c r="P5" s="25" t="s">
        <v>10</v>
      </c>
      <c r="Q5" s="21" t="s">
        <v>17</v>
      </c>
      <c r="R5" s="23" t="s">
        <v>18</v>
      </c>
      <c r="S5" s="25" t="s">
        <v>19</v>
      </c>
      <c r="T5" s="5"/>
    </row>
    <row r="6" spans="1:20" hidden="1" outlineLevel="1" x14ac:dyDescent="0.25">
      <c r="A6" s="27"/>
      <c r="B6" s="27"/>
      <c r="C6" s="30"/>
      <c r="D6" s="27"/>
      <c r="E6" s="37"/>
      <c r="F6" s="27"/>
      <c r="G6" s="39"/>
      <c r="H6" s="31">
        <f t="shared" ref="H6:R6" si="0">IF($E6&lt;I$4,($G6*1.3)/4,0)</f>
        <v>0</v>
      </c>
      <c r="I6" s="33">
        <f t="shared" si="0"/>
        <v>0</v>
      </c>
      <c r="J6" s="33">
        <f t="shared" si="0"/>
        <v>0</v>
      </c>
      <c r="K6" s="33">
        <f t="shared" si="0"/>
        <v>0</v>
      </c>
      <c r="L6" s="33">
        <f t="shared" si="0"/>
        <v>0</v>
      </c>
      <c r="M6" s="33">
        <f t="shared" si="0"/>
        <v>0</v>
      </c>
      <c r="N6" s="33">
        <f t="shared" si="0"/>
        <v>0</v>
      </c>
      <c r="O6" s="33">
        <f t="shared" si="0"/>
        <v>0</v>
      </c>
      <c r="P6" s="33">
        <f t="shared" si="0"/>
        <v>0</v>
      </c>
      <c r="Q6" s="33">
        <f t="shared" si="0"/>
        <v>0</v>
      </c>
      <c r="R6" s="33">
        <f t="shared" si="0"/>
        <v>0</v>
      </c>
      <c r="S6" s="33">
        <f t="shared" ref="S6:S24" si="1">IF($E6&lt;S$4,($G6*1.3)/4,0)</f>
        <v>0</v>
      </c>
      <c r="T6" s="5"/>
    </row>
    <row r="7" spans="1:20" hidden="1" outlineLevel="1" x14ac:dyDescent="0.25">
      <c r="A7" s="40"/>
      <c r="B7" s="40"/>
      <c r="C7" s="35"/>
      <c r="D7" s="40"/>
      <c r="E7" s="42"/>
      <c r="F7" s="43"/>
      <c r="G7" s="44"/>
      <c r="H7" s="31">
        <f t="shared" ref="H7:R7" si="2">IF($E7&lt;I$4,($G7*1.3)/4,0)</f>
        <v>0</v>
      </c>
      <c r="I7" s="33">
        <f t="shared" si="2"/>
        <v>0</v>
      </c>
      <c r="J7" s="33">
        <f t="shared" si="2"/>
        <v>0</v>
      </c>
      <c r="K7" s="33">
        <f t="shared" si="2"/>
        <v>0</v>
      </c>
      <c r="L7" s="33">
        <f t="shared" si="2"/>
        <v>0</v>
      </c>
      <c r="M7" s="33">
        <f t="shared" si="2"/>
        <v>0</v>
      </c>
      <c r="N7" s="33">
        <f t="shared" si="2"/>
        <v>0</v>
      </c>
      <c r="O7" s="33">
        <f t="shared" si="2"/>
        <v>0</v>
      </c>
      <c r="P7" s="33">
        <f t="shared" si="2"/>
        <v>0</v>
      </c>
      <c r="Q7" s="33">
        <f t="shared" si="2"/>
        <v>0</v>
      </c>
      <c r="R7" s="33">
        <f t="shared" si="2"/>
        <v>0</v>
      </c>
      <c r="S7" s="33">
        <f t="shared" si="1"/>
        <v>0</v>
      </c>
      <c r="T7" s="5"/>
    </row>
    <row r="8" spans="1:20" hidden="1" outlineLevel="1" x14ac:dyDescent="0.25">
      <c r="A8" s="40"/>
      <c r="B8" s="40"/>
      <c r="C8" s="35"/>
      <c r="D8" s="40"/>
      <c r="E8" s="42"/>
      <c r="F8" s="43"/>
      <c r="G8" s="44"/>
      <c r="H8" s="31">
        <f t="shared" ref="H8:R8" si="3">IF($E8&lt;I$4,($G8*1.3)/4,0)</f>
        <v>0</v>
      </c>
      <c r="I8" s="33">
        <f t="shared" si="3"/>
        <v>0</v>
      </c>
      <c r="J8" s="33">
        <f t="shared" si="3"/>
        <v>0</v>
      </c>
      <c r="K8" s="33">
        <f t="shared" si="3"/>
        <v>0</v>
      </c>
      <c r="L8" s="33">
        <f t="shared" si="3"/>
        <v>0</v>
      </c>
      <c r="M8" s="33">
        <f t="shared" si="3"/>
        <v>0</v>
      </c>
      <c r="N8" s="33">
        <f t="shared" si="3"/>
        <v>0</v>
      </c>
      <c r="O8" s="33">
        <f t="shared" si="3"/>
        <v>0</v>
      </c>
      <c r="P8" s="33">
        <f t="shared" si="3"/>
        <v>0</v>
      </c>
      <c r="Q8" s="33">
        <f t="shared" si="3"/>
        <v>0</v>
      </c>
      <c r="R8" s="33">
        <f t="shared" si="3"/>
        <v>0</v>
      </c>
      <c r="S8" s="33">
        <f t="shared" si="1"/>
        <v>0</v>
      </c>
      <c r="T8" s="5"/>
    </row>
    <row r="9" spans="1:20" hidden="1" outlineLevel="1" x14ac:dyDescent="0.25">
      <c r="A9" s="40"/>
      <c r="B9" s="40"/>
      <c r="C9" s="35"/>
      <c r="D9" s="40"/>
      <c r="E9" s="42"/>
      <c r="F9" s="43"/>
      <c r="G9" s="44"/>
      <c r="H9" s="31">
        <f t="shared" ref="H9:R9" si="4">IF($E9&lt;I$4,($G9*1.3)/4,0)</f>
        <v>0</v>
      </c>
      <c r="I9" s="33">
        <f t="shared" si="4"/>
        <v>0</v>
      </c>
      <c r="J9" s="33">
        <f t="shared" si="4"/>
        <v>0</v>
      </c>
      <c r="K9" s="33">
        <f t="shared" si="4"/>
        <v>0</v>
      </c>
      <c r="L9" s="33">
        <f t="shared" si="4"/>
        <v>0</v>
      </c>
      <c r="M9" s="33">
        <f t="shared" si="4"/>
        <v>0</v>
      </c>
      <c r="N9" s="33">
        <f t="shared" si="4"/>
        <v>0</v>
      </c>
      <c r="O9" s="33">
        <f t="shared" si="4"/>
        <v>0</v>
      </c>
      <c r="P9" s="33">
        <f t="shared" si="4"/>
        <v>0</v>
      </c>
      <c r="Q9" s="33">
        <f t="shared" si="4"/>
        <v>0</v>
      </c>
      <c r="R9" s="33">
        <f t="shared" si="4"/>
        <v>0</v>
      </c>
      <c r="S9" s="33">
        <f t="shared" si="1"/>
        <v>0</v>
      </c>
      <c r="T9" s="5"/>
    </row>
    <row r="10" spans="1:20" hidden="1" outlineLevel="1" x14ac:dyDescent="0.25">
      <c r="A10" s="40"/>
      <c r="B10" s="40"/>
      <c r="C10" s="35"/>
      <c r="D10" s="40"/>
      <c r="E10" s="42"/>
      <c r="F10" s="43"/>
      <c r="G10" s="44"/>
      <c r="H10" s="31">
        <f t="shared" ref="H10:R10" si="5">IF($E10&lt;I$4,($G10*1.3)/4,0)</f>
        <v>0</v>
      </c>
      <c r="I10" s="33">
        <f t="shared" si="5"/>
        <v>0</v>
      </c>
      <c r="J10" s="33">
        <f t="shared" si="5"/>
        <v>0</v>
      </c>
      <c r="K10" s="33">
        <f t="shared" si="5"/>
        <v>0</v>
      </c>
      <c r="L10" s="33">
        <f t="shared" si="5"/>
        <v>0</v>
      </c>
      <c r="M10" s="33">
        <f t="shared" si="5"/>
        <v>0</v>
      </c>
      <c r="N10" s="33">
        <f t="shared" si="5"/>
        <v>0</v>
      </c>
      <c r="O10" s="33">
        <f t="shared" si="5"/>
        <v>0</v>
      </c>
      <c r="P10" s="33">
        <f t="shared" si="5"/>
        <v>0</v>
      </c>
      <c r="Q10" s="33">
        <f t="shared" si="5"/>
        <v>0</v>
      </c>
      <c r="R10" s="33">
        <f t="shared" si="5"/>
        <v>0</v>
      </c>
      <c r="S10" s="33">
        <f t="shared" si="1"/>
        <v>0</v>
      </c>
      <c r="T10" s="5"/>
    </row>
    <row r="11" spans="1:20" hidden="1" outlineLevel="1" x14ac:dyDescent="0.25">
      <c r="A11" s="40"/>
      <c r="B11" s="40"/>
      <c r="C11" s="35"/>
      <c r="D11" s="40"/>
      <c r="E11" s="42"/>
      <c r="F11" s="43"/>
      <c r="G11" s="44"/>
      <c r="H11" s="31">
        <f t="shared" ref="H11:R11" si="6">IF($E11&lt;I$4,($G11*1.3)/4,0)</f>
        <v>0</v>
      </c>
      <c r="I11" s="33">
        <f t="shared" si="6"/>
        <v>0</v>
      </c>
      <c r="J11" s="33">
        <f t="shared" si="6"/>
        <v>0</v>
      </c>
      <c r="K11" s="33">
        <f t="shared" si="6"/>
        <v>0</v>
      </c>
      <c r="L11" s="33">
        <f t="shared" si="6"/>
        <v>0</v>
      </c>
      <c r="M11" s="33">
        <f t="shared" si="6"/>
        <v>0</v>
      </c>
      <c r="N11" s="33">
        <f t="shared" si="6"/>
        <v>0</v>
      </c>
      <c r="O11" s="33">
        <f t="shared" si="6"/>
        <v>0</v>
      </c>
      <c r="P11" s="33">
        <f t="shared" si="6"/>
        <v>0</v>
      </c>
      <c r="Q11" s="33">
        <f t="shared" si="6"/>
        <v>0</v>
      </c>
      <c r="R11" s="33">
        <f t="shared" si="6"/>
        <v>0</v>
      </c>
      <c r="S11" s="33">
        <f t="shared" si="1"/>
        <v>0</v>
      </c>
      <c r="T11" s="5"/>
    </row>
    <row r="12" spans="1:20" hidden="1" outlineLevel="1" x14ac:dyDescent="0.25">
      <c r="A12" s="40"/>
      <c r="B12" s="40"/>
      <c r="C12" s="35"/>
      <c r="D12" s="40"/>
      <c r="E12" s="42"/>
      <c r="F12" s="43"/>
      <c r="G12" s="44"/>
      <c r="H12" s="31">
        <f t="shared" ref="H12:R12" si="7">IF($E12&lt;I$4,($G12*1.3)/4,0)</f>
        <v>0</v>
      </c>
      <c r="I12" s="33">
        <f t="shared" si="7"/>
        <v>0</v>
      </c>
      <c r="J12" s="33">
        <f t="shared" si="7"/>
        <v>0</v>
      </c>
      <c r="K12" s="33">
        <f t="shared" si="7"/>
        <v>0</v>
      </c>
      <c r="L12" s="33">
        <f t="shared" si="7"/>
        <v>0</v>
      </c>
      <c r="M12" s="33">
        <f t="shared" si="7"/>
        <v>0</v>
      </c>
      <c r="N12" s="33">
        <f t="shared" si="7"/>
        <v>0</v>
      </c>
      <c r="O12" s="33">
        <f t="shared" si="7"/>
        <v>0</v>
      </c>
      <c r="P12" s="33">
        <f t="shared" si="7"/>
        <v>0</v>
      </c>
      <c r="Q12" s="33">
        <f t="shared" si="7"/>
        <v>0</v>
      </c>
      <c r="R12" s="33">
        <f t="shared" si="7"/>
        <v>0</v>
      </c>
      <c r="S12" s="33">
        <f t="shared" si="1"/>
        <v>0</v>
      </c>
      <c r="T12" s="5"/>
    </row>
    <row r="13" spans="1:20" hidden="1" outlineLevel="1" x14ac:dyDescent="0.25">
      <c r="A13" s="40"/>
      <c r="B13" s="40"/>
      <c r="C13" s="35"/>
      <c r="D13" s="40"/>
      <c r="E13" s="42"/>
      <c r="F13" s="43"/>
      <c r="G13" s="44"/>
      <c r="H13" s="31">
        <f t="shared" ref="H13:R13" si="8">IF($E13&lt;I$4,($G13*1.3)/4,0)</f>
        <v>0</v>
      </c>
      <c r="I13" s="33">
        <f t="shared" si="8"/>
        <v>0</v>
      </c>
      <c r="J13" s="33">
        <f t="shared" si="8"/>
        <v>0</v>
      </c>
      <c r="K13" s="33">
        <f t="shared" si="8"/>
        <v>0</v>
      </c>
      <c r="L13" s="33">
        <f t="shared" si="8"/>
        <v>0</v>
      </c>
      <c r="M13" s="33">
        <f t="shared" si="8"/>
        <v>0</v>
      </c>
      <c r="N13" s="33">
        <f t="shared" si="8"/>
        <v>0</v>
      </c>
      <c r="O13" s="33">
        <f t="shared" si="8"/>
        <v>0</v>
      </c>
      <c r="P13" s="33">
        <f t="shared" si="8"/>
        <v>0</v>
      </c>
      <c r="Q13" s="33">
        <f t="shared" si="8"/>
        <v>0</v>
      </c>
      <c r="R13" s="33">
        <f t="shared" si="8"/>
        <v>0</v>
      </c>
      <c r="S13" s="33">
        <f t="shared" si="1"/>
        <v>0</v>
      </c>
      <c r="T13" s="5"/>
    </row>
    <row r="14" spans="1:20" hidden="1" outlineLevel="1" x14ac:dyDescent="0.25">
      <c r="A14" s="40"/>
      <c r="B14" s="40"/>
      <c r="C14" s="35"/>
      <c r="D14" s="40"/>
      <c r="E14" s="42"/>
      <c r="F14" s="43"/>
      <c r="G14" s="44"/>
      <c r="H14" s="31">
        <f t="shared" ref="H14:R14" si="9">IF($E14&lt;I$4,($G14*1.3)/4,0)</f>
        <v>0</v>
      </c>
      <c r="I14" s="33">
        <f t="shared" si="9"/>
        <v>0</v>
      </c>
      <c r="J14" s="33">
        <f t="shared" si="9"/>
        <v>0</v>
      </c>
      <c r="K14" s="33">
        <f t="shared" si="9"/>
        <v>0</v>
      </c>
      <c r="L14" s="33">
        <f t="shared" si="9"/>
        <v>0</v>
      </c>
      <c r="M14" s="33">
        <f t="shared" si="9"/>
        <v>0</v>
      </c>
      <c r="N14" s="33">
        <f t="shared" si="9"/>
        <v>0</v>
      </c>
      <c r="O14" s="33">
        <f t="shared" si="9"/>
        <v>0</v>
      </c>
      <c r="P14" s="33">
        <f t="shared" si="9"/>
        <v>0</v>
      </c>
      <c r="Q14" s="33">
        <f t="shared" si="9"/>
        <v>0</v>
      </c>
      <c r="R14" s="33">
        <f t="shared" si="9"/>
        <v>0</v>
      </c>
      <c r="S14" s="33">
        <f t="shared" si="1"/>
        <v>0</v>
      </c>
      <c r="T14" s="5"/>
    </row>
    <row r="15" spans="1:20" hidden="1" outlineLevel="1" x14ac:dyDescent="0.25">
      <c r="A15" s="40"/>
      <c r="B15" s="40"/>
      <c r="C15" s="35"/>
      <c r="D15" s="40"/>
      <c r="E15" s="42"/>
      <c r="F15" s="43"/>
      <c r="G15" s="44"/>
      <c r="H15" s="31">
        <f t="shared" ref="H15:R15" si="10">IF($E15&lt;I$4,($G15*1.3)/4,0)</f>
        <v>0</v>
      </c>
      <c r="I15" s="33">
        <f t="shared" si="10"/>
        <v>0</v>
      </c>
      <c r="J15" s="33">
        <f t="shared" si="10"/>
        <v>0</v>
      </c>
      <c r="K15" s="33">
        <f t="shared" si="10"/>
        <v>0</v>
      </c>
      <c r="L15" s="33">
        <f t="shared" si="10"/>
        <v>0</v>
      </c>
      <c r="M15" s="33">
        <f t="shared" si="10"/>
        <v>0</v>
      </c>
      <c r="N15" s="33">
        <f t="shared" si="10"/>
        <v>0</v>
      </c>
      <c r="O15" s="33">
        <f t="shared" si="10"/>
        <v>0</v>
      </c>
      <c r="P15" s="33">
        <f t="shared" si="10"/>
        <v>0</v>
      </c>
      <c r="Q15" s="33">
        <f t="shared" si="10"/>
        <v>0</v>
      </c>
      <c r="R15" s="33">
        <f t="shared" si="10"/>
        <v>0</v>
      </c>
      <c r="S15" s="33">
        <f t="shared" si="1"/>
        <v>0</v>
      </c>
      <c r="T15" s="5"/>
    </row>
    <row r="16" spans="1:20" hidden="1" outlineLevel="1" x14ac:dyDescent="0.25">
      <c r="A16" s="40"/>
      <c r="B16" s="40"/>
      <c r="C16" s="35"/>
      <c r="D16" s="40"/>
      <c r="E16" s="42"/>
      <c r="F16" s="43"/>
      <c r="G16" s="44"/>
      <c r="H16" s="31">
        <f t="shared" ref="H16:R16" si="11">IF($E16&lt;I$4,($G16*1.3)/4,0)</f>
        <v>0</v>
      </c>
      <c r="I16" s="33">
        <f t="shared" si="11"/>
        <v>0</v>
      </c>
      <c r="J16" s="33">
        <f t="shared" si="11"/>
        <v>0</v>
      </c>
      <c r="K16" s="33">
        <f t="shared" si="11"/>
        <v>0</v>
      </c>
      <c r="L16" s="33">
        <f t="shared" si="11"/>
        <v>0</v>
      </c>
      <c r="M16" s="33">
        <f t="shared" si="11"/>
        <v>0</v>
      </c>
      <c r="N16" s="33">
        <f t="shared" si="11"/>
        <v>0</v>
      </c>
      <c r="O16" s="33">
        <f t="shared" si="11"/>
        <v>0</v>
      </c>
      <c r="P16" s="33">
        <f t="shared" si="11"/>
        <v>0</v>
      </c>
      <c r="Q16" s="33">
        <f t="shared" si="11"/>
        <v>0</v>
      </c>
      <c r="R16" s="33">
        <f t="shared" si="11"/>
        <v>0</v>
      </c>
      <c r="S16" s="33">
        <f t="shared" si="1"/>
        <v>0</v>
      </c>
      <c r="T16" s="5"/>
    </row>
    <row r="17" spans="1:20" hidden="1" outlineLevel="1" x14ac:dyDescent="0.25">
      <c r="A17" s="40"/>
      <c r="B17" s="40"/>
      <c r="C17" s="35"/>
      <c r="D17" s="40"/>
      <c r="E17" s="40"/>
      <c r="F17" s="43"/>
      <c r="G17" s="44"/>
      <c r="H17" s="31">
        <f t="shared" ref="H17:R17" si="12">IF($E17&lt;I$4,($G17*1.3)/4,0)</f>
        <v>0</v>
      </c>
      <c r="I17" s="33">
        <f t="shared" si="12"/>
        <v>0</v>
      </c>
      <c r="J17" s="33">
        <f t="shared" si="12"/>
        <v>0</v>
      </c>
      <c r="K17" s="33">
        <f t="shared" si="12"/>
        <v>0</v>
      </c>
      <c r="L17" s="33">
        <f t="shared" si="12"/>
        <v>0</v>
      </c>
      <c r="M17" s="33">
        <f t="shared" si="12"/>
        <v>0</v>
      </c>
      <c r="N17" s="33">
        <f t="shared" si="12"/>
        <v>0</v>
      </c>
      <c r="O17" s="33">
        <f t="shared" si="12"/>
        <v>0</v>
      </c>
      <c r="P17" s="33">
        <f t="shared" si="12"/>
        <v>0</v>
      </c>
      <c r="Q17" s="33">
        <f t="shared" si="12"/>
        <v>0</v>
      </c>
      <c r="R17" s="33">
        <f t="shared" si="12"/>
        <v>0</v>
      </c>
      <c r="S17" s="33">
        <f t="shared" si="1"/>
        <v>0</v>
      </c>
      <c r="T17" s="5"/>
    </row>
    <row r="18" spans="1:20" hidden="1" outlineLevel="1" x14ac:dyDescent="0.25">
      <c r="A18" s="40"/>
      <c r="B18" s="40"/>
      <c r="C18" s="35"/>
      <c r="D18" s="40"/>
      <c r="E18" s="40"/>
      <c r="F18" s="43"/>
      <c r="G18" s="44"/>
      <c r="H18" s="31">
        <f t="shared" ref="H18:R18" si="13">IF($E18&lt;I$4,($G18*1.3)/4,0)</f>
        <v>0</v>
      </c>
      <c r="I18" s="33">
        <f t="shared" si="13"/>
        <v>0</v>
      </c>
      <c r="J18" s="33">
        <f t="shared" si="13"/>
        <v>0</v>
      </c>
      <c r="K18" s="33">
        <f t="shared" si="13"/>
        <v>0</v>
      </c>
      <c r="L18" s="33">
        <f t="shared" si="13"/>
        <v>0</v>
      </c>
      <c r="M18" s="33">
        <f t="shared" si="13"/>
        <v>0</v>
      </c>
      <c r="N18" s="33">
        <f t="shared" si="13"/>
        <v>0</v>
      </c>
      <c r="O18" s="33">
        <f t="shared" si="13"/>
        <v>0</v>
      </c>
      <c r="P18" s="33">
        <f t="shared" si="13"/>
        <v>0</v>
      </c>
      <c r="Q18" s="33">
        <f t="shared" si="13"/>
        <v>0</v>
      </c>
      <c r="R18" s="33">
        <f t="shared" si="13"/>
        <v>0</v>
      </c>
      <c r="S18" s="33">
        <f t="shared" si="1"/>
        <v>0</v>
      </c>
      <c r="T18" s="5"/>
    </row>
    <row r="19" spans="1:20" hidden="1" outlineLevel="1" x14ac:dyDescent="0.25">
      <c r="A19" s="40"/>
      <c r="B19" s="40"/>
      <c r="C19" s="35"/>
      <c r="D19" s="40"/>
      <c r="E19" s="40"/>
      <c r="F19" s="43"/>
      <c r="G19" s="44"/>
      <c r="H19" s="31">
        <f t="shared" ref="H19:R19" si="14">IF($E19&lt;I$4,($G19*1.3)/4,0)</f>
        <v>0</v>
      </c>
      <c r="I19" s="33">
        <f t="shared" si="14"/>
        <v>0</v>
      </c>
      <c r="J19" s="33">
        <f t="shared" si="14"/>
        <v>0</v>
      </c>
      <c r="K19" s="33">
        <f t="shared" si="14"/>
        <v>0</v>
      </c>
      <c r="L19" s="33">
        <f t="shared" si="14"/>
        <v>0</v>
      </c>
      <c r="M19" s="33">
        <f t="shared" si="14"/>
        <v>0</v>
      </c>
      <c r="N19" s="33">
        <f t="shared" si="14"/>
        <v>0</v>
      </c>
      <c r="O19" s="33">
        <f t="shared" si="14"/>
        <v>0</v>
      </c>
      <c r="P19" s="33">
        <f t="shared" si="14"/>
        <v>0</v>
      </c>
      <c r="Q19" s="33">
        <f t="shared" si="14"/>
        <v>0</v>
      </c>
      <c r="R19" s="33">
        <f t="shared" si="14"/>
        <v>0</v>
      </c>
      <c r="S19" s="33">
        <f t="shared" si="1"/>
        <v>0</v>
      </c>
      <c r="T19" s="5"/>
    </row>
    <row r="20" spans="1:20" hidden="1" outlineLevel="1" x14ac:dyDescent="0.25">
      <c r="A20" s="40"/>
      <c r="B20" s="40"/>
      <c r="C20" s="35"/>
      <c r="D20" s="40"/>
      <c r="E20" s="43"/>
      <c r="F20" s="43"/>
      <c r="G20" s="44"/>
      <c r="H20" s="31">
        <f t="shared" ref="H20:R20" si="15">IF($E20&lt;I$4,($G20*1.3)/4,0)</f>
        <v>0</v>
      </c>
      <c r="I20" s="33">
        <f t="shared" si="15"/>
        <v>0</v>
      </c>
      <c r="J20" s="33">
        <f t="shared" si="15"/>
        <v>0</v>
      </c>
      <c r="K20" s="33">
        <f t="shared" si="15"/>
        <v>0</v>
      </c>
      <c r="L20" s="33">
        <f t="shared" si="15"/>
        <v>0</v>
      </c>
      <c r="M20" s="33">
        <f t="shared" si="15"/>
        <v>0</v>
      </c>
      <c r="N20" s="33">
        <f t="shared" si="15"/>
        <v>0</v>
      </c>
      <c r="O20" s="33">
        <f t="shared" si="15"/>
        <v>0</v>
      </c>
      <c r="P20" s="33">
        <f t="shared" si="15"/>
        <v>0</v>
      </c>
      <c r="Q20" s="33">
        <f t="shared" si="15"/>
        <v>0</v>
      </c>
      <c r="R20" s="33">
        <f t="shared" si="15"/>
        <v>0</v>
      </c>
      <c r="S20" s="33">
        <f t="shared" si="1"/>
        <v>0</v>
      </c>
      <c r="T20" s="5"/>
    </row>
    <row r="21" spans="1:20" hidden="1" outlineLevel="1" x14ac:dyDescent="0.25">
      <c r="A21" s="40"/>
      <c r="B21" s="40"/>
      <c r="C21" s="35"/>
      <c r="D21" s="40"/>
      <c r="E21" s="43"/>
      <c r="F21" s="43"/>
      <c r="G21" s="44"/>
      <c r="H21" s="31">
        <f t="shared" ref="H21:R21" si="16">IF($E21&lt;I$4,($G21*1.3)/4,0)</f>
        <v>0</v>
      </c>
      <c r="I21" s="33">
        <f t="shared" si="16"/>
        <v>0</v>
      </c>
      <c r="J21" s="33">
        <f t="shared" si="16"/>
        <v>0</v>
      </c>
      <c r="K21" s="33">
        <f t="shared" si="16"/>
        <v>0</v>
      </c>
      <c r="L21" s="33">
        <f t="shared" si="16"/>
        <v>0</v>
      </c>
      <c r="M21" s="33">
        <f t="shared" si="16"/>
        <v>0</v>
      </c>
      <c r="N21" s="33">
        <f t="shared" si="16"/>
        <v>0</v>
      </c>
      <c r="O21" s="33">
        <f t="shared" si="16"/>
        <v>0</v>
      </c>
      <c r="P21" s="33">
        <f t="shared" si="16"/>
        <v>0</v>
      </c>
      <c r="Q21" s="33">
        <f t="shared" si="16"/>
        <v>0</v>
      </c>
      <c r="R21" s="33">
        <f t="shared" si="16"/>
        <v>0</v>
      </c>
      <c r="S21" s="33">
        <f t="shared" si="1"/>
        <v>0</v>
      </c>
      <c r="T21" s="5"/>
    </row>
    <row r="22" spans="1:20" hidden="1" outlineLevel="1" x14ac:dyDescent="0.25">
      <c r="A22" s="66"/>
      <c r="B22" s="66"/>
      <c r="C22" s="76"/>
      <c r="D22" s="77"/>
      <c r="E22" s="66"/>
      <c r="F22" s="66"/>
      <c r="G22" s="79"/>
      <c r="H22" s="31">
        <f t="shared" ref="H22:R22" si="17">IF($E22&lt;I$4,($G22*1.3)/4,0)</f>
        <v>0</v>
      </c>
      <c r="I22" s="33">
        <f t="shared" si="17"/>
        <v>0</v>
      </c>
      <c r="J22" s="33">
        <f t="shared" si="17"/>
        <v>0</v>
      </c>
      <c r="K22" s="33">
        <f t="shared" si="17"/>
        <v>0</v>
      </c>
      <c r="L22" s="33">
        <f t="shared" si="17"/>
        <v>0</v>
      </c>
      <c r="M22" s="33">
        <f t="shared" si="17"/>
        <v>0</v>
      </c>
      <c r="N22" s="33">
        <f t="shared" si="17"/>
        <v>0</v>
      </c>
      <c r="O22" s="33">
        <f t="shared" si="17"/>
        <v>0</v>
      </c>
      <c r="P22" s="33">
        <f t="shared" si="17"/>
        <v>0</v>
      </c>
      <c r="Q22" s="33">
        <f t="shared" si="17"/>
        <v>0</v>
      </c>
      <c r="R22" s="33">
        <f t="shared" si="17"/>
        <v>0</v>
      </c>
      <c r="S22" s="33">
        <f t="shared" si="1"/>
        <v>0</v>
      </c>
      <c r="T22" s="5"/>
    </row>
    <row r="23" spans="1:20" hidden="1" outlineLevel="1" x14ac:dyDescent="0.25">
      <c r="A23" s="66"/>
      <c r="B23" s="66"/>
      <c r="C23" s="76"/>
      <c r="D23" s="77"/>
      <c r="E23" s="66"/>
      <c r="F23" s="66"/>
      <c r="G23" s="79"/>
      <c r="H23" s="31">
        <f t="shared" ref="H23:R23" si="18">IF($E23&lt;I$4,($G23*1.3)/4,0)</f>
        <v>0</v>
      </c>
      <c r="I23" s="33">
        <f t="shared" si="18"/>
        <v>0</v>
      </c>
      <c r="J23" s="33">
        <f t="shared" si="18"/>
        <v>0</v>
      </c>
      <c r="K23" s="33">
        <f t="shared" si="18"/>
        <v>0</v>
      </c>
      <c r="L23" s="33">
        <f t="shared" si="18"/>
        <v>0</v>
      </c>
      <c r="M23" s="33">
        <f t="shared" si="18"/>
        <v>0</v>
      </c>
      <c r="N23" s="33">
        <f t="shared" si="18"/>
        <v>0</v>
      </c>
      <c r="O23" s="33">
        <f t="shared" si="18"/>
        <v>0</v>
      </c>
      <c r="P23" s="33">
        <f t="shared" si="18"/>
        <v>0</v>
      </c>
      <c r="Q23" s="33">
        <f t="shared" si="18"/>
        <v>0</v>
      </c>
      <c r="R23" s="33">
        <f t="shared" si="18"/>
        <v>0</v>
      </c>
      <c r="S23" s="33">
        <f t="shared" si="1"/>
        <v>0</v>
      </c>
      <c r="T23" s="5"/>
    </row>
    <row r="24" spans="1:20" hidden="1" outlineLevel="1" x14ac:dyDescent="0.25">
      <c r="A24" s="66"/>
      <c r="B24" s="66"/>
      <c r="C24" s="76"/>
      <c r="D24" s="77"/>
      <c r="E24" s="66"/>
      <c r="F24" s="66"/>
      <c r="G24" s="79"/>
      <c r="H24" s="31">
        <f t="shared" ref="H24:R24" si="19">IF($E24&lt;I$4,($G24*1.3)/4,0)</f>
        <v>0</v>
      </c>
      <c r="I24" s="33">
        <f t="shared" si="19"/>
        <v>0</v>
      </c>
      <c r="J24" s="33">
        <f t="shared" si="19"/>
        <v>0</v>
      </c>
      <c r="K24" s="33">
        <f t="shared" si="19"/>
        <v>0</v>
      </c>
      <c r="L24" s="33">
        <f t="shared" si="19"/>
        <v>0</v>
      </c>
      <c r="M24" s="33">
        <f t="shared" si="19"/>
        <v>0</v>
      </c>
      <c r="N24" s="33">
        <f t="shared" si="19"/>
        <v>0</v>
      </c>
      <c r="O24" s="33">
        <f t="shared" si="19"/>
        <v>0</v>
      </c>
      <c r="P24" s="33">
        <f t="shared" si="19"/>
        <v>0</v>
      </c>
      <c r="Q24" s="33">
        <f t="shared" si="19"/>
        <v>0</v>
      </c>
      <c r="R24" s="33">
        <f t="shared" si="19"/>
        <v>0</v>
      </c>
      <c r="S24" s="33">
        <f t="shared" si="1"/>
        <v>0</v>
      </c>
      <c r="T24" s="5"/>
    </row>
    <row r="25" spans="1:20" hidden="1" outlineLevel="1" x14ac:dyDescent="0.25">
      <c r="A25" s="50"/>
      <c r="B25" s="50"/>
      <c r="C25" s="50"/>
      <c r="D25" s="50"/>
      <c r="E25" s="50"/>
      <c r="F25" s="50"/>
      <c r="G25" s="50"/>
      <c r="H25" s="81">
        <f t="shared" ref="H25:S25" si="20">SUM(H6:H24)</f>
        <v>0</v>
      </c>
      <c r="I25" s="82">
        <f t="shared" si="20"/>
        <v>0</v>
      </c>
      <c r="J25" s="82">
        <f t="shared" si="20"/>
        <v>0</v>
      </c>
      <c r="K25" s="82">
        <f t="shared" si="20"/>
        <v>0</v>
      </c>
      <c r="L25" s="82">
        <f t="shared" si="20"/>
        <v>0</v>
      </c>
      <c r="M25" s="82">
        <f t="shared" si="20"/>
        <v>0</v>
      </c>
      <c r="N25" s="82">
        <f t="shared" si="20"/>
        <v>0</v>
      </c>
      <c r="O25" s="82">
        <f t="shared" si="20"/>
        <v>0</v>
      </c>
      <c r="P25" s="82">
        <f t="shared" si="20"/>
        <v>0</v>
      </c>
      <c r="Q25" s="82">
        <f t="shared" si="20"/>
        <v>0</v>
      </c>
      <c r="R25" s="82">
        <f t="shared" si="20"/>
        <v>0</v>
      </c>
      <c r="S25" s="82">
        <f t="shared" si="20"/>
        <v>0</v>
      </c>
      <c r="T25" s="5"/>
    </row>
    <row r="26" spans="1:20" collapsed="1" x14ac:dyDescent="0.25">
      <c r="B26" s="5"/>
      <c r="C26" s="5"/>
      <c r="D26" s="5"/>
      <c r="E26" s="5"/>
      <c r="F26" s="5"/>
      <c r="G26" s="5"/>
      <c r="H26" s="5"/>
      <c r="I26" s="5"/>
      <c r="J26" s="5"/>
      <c r="K26" s="5"/>
      <c r="L26" s="5"/>
      <c r="M26" s="5"/>
      <c r="N26" s="5"/>
      <c r="O26" s="5"/>
      <c r="P26" s="5"/>
      <c r="Q26" s="5"/>
      <c r="R26" s="5"/>
      <c r="S26" s="5"/>
    </row>
    <row r="27" spans="1:20" ht="18.75" x14ac:dyDescent="0.3">
      <c r="A27" s="7" t="s">
        <v>67</v>
      </c>
      <c r="B27" s="5"/>
      <c r="C27" s="5"/>
      <c r="D27" s="5"/>
      <c r="E27" s="5"/>
      <c r="F27" s="5"/>
      <c r="G27" s="5"/>
      <c r="H27" s="790">
        <v>2019</v>
      </c>
      <c r="I27" s="789"/>
      <c r="J27" s="787">
        <v>2020</v>
      </c>
      <c r="K27" s="788"/>
      <c r="L27" s="788"/>
      <c r="M27" s="789"/>
      <c r="N27" s="787">
        <v>2021</v>
      </c>
      <c r="O27" s="788"/>
      <c r="P27" s="788"/>
      <c r="Q27" s="789"/>
      <c r="R27" s="790">
        <v>2022</v>
      </c>
      <c r="S27" s="789"/>
    </row>
    <row r="28" spans="1:20" ht="30" x14ac:dyDescent="0.25">
      <c r="A28" s="54" t="s">
        <v>8</v>
      </c>
      <c r="B28" s="54" t="s">
        <v>11</v>
      </c>
      <c r="C28" s="54" t="s">
        <v>71</v>
      </c>
      <c r="D28" s="791" t="s">
        <v>72</v>
      </c>
      <c r="E28" s="792"/>
      <c r="F28" s="793"/>
      <c r="G28" s="55" t="s">
        <v>73</v>
      </c>
      <c r="H28" s="18" t="s">
        <v>10</v>
      </c>
      <c r="I28" s="20" t="s">
        <v>17</v>
      </c>
      <c r="J28" s="22" t="s">
        <v>18</v>
      </c>
      <c r="K28" s="18" t="s">
        <v>19</v>
      </c>
      <c r="L28" s="18" t="s">
        <v>10</v>
      </c>
      <c r="M28" s="20" t="s">
        <v>17</v>
      </c>
      <c r="N28" s="22" t="s">
        <v>18</v>
      </c>
      <c r="O28" s="18" t="s">
        <v>19</v>
      </c>
      <c r="P28" s="18" t="s">
        <v>10</v>
      </c>
      <c r="Q28" s="20" t="s">
        <v>17</v>
      </c>
      <c r="R28" s="22" t="s">
        <v>18</v>
      </c>
      <c r="S28" s="18" t="s">
        <v>19</v>
      </c>
    </row>
    <row r="29" spans="1:20" x14ac:dyDescent="0.25">
      <c r="A29" s="40" t="s">
        <v>107</v>
      </c>
      <c r="B29" s="40" t="s">
        <v>175</v>
      </c>
      <c r="C29" s="40" t="s">
        <v>176</v>
      </c>
      <c r="D29" s="794" t="s">
        <v>177</v>
      </c>
      <c r="E29" s="795"/>
      <c r="F29" s="796"/>
      <c r="G29" s="58">
        <v>40000</v>
      </c>
      <c r="H29" s="56"/>
      <c r="I29" s="57">
        <v>10000</v>
      </c>
      <c r="J29" s="57">
        <v>10000</v>
      </c>
      <c r="K29" s="57">
        <v>10000</v>
      </c>
      <c r="L29" s="57">
        <v>10000</v>
      </c>
      <c r="M29" s="57"/>
      <c r="N29" s="57"/>
      <c r="O29" s="57"/>
      <c r="P29" s="57"/>
      <c r="Q29" s="57"/>
      <c r="R29" s="57"/>
      <c r="S29" s="57"/>
    </row>
    <row r="30" spans="1:20" x14ac:dyDescent="0.25">
      <c r="A30" s="40" t="s">
        <v>107</v>
      </c>
      <c r="B30" s="40" t="s">
        <v>175</v>
      </c>
      <c r="C30" s="40" t="s">
        <v>178</v>
      </c>
      <c r="D30" s="794" t="s">
        <v>179</v>
      </c>
      <c r="E30" s="795"/>
      <c r="F30" s="796"/>
      <c r="G30" s="58">
        <v>20000</v>
      </c>
      <c r="H30" s="56"/>
      <c r="I30" s="57">
        <v>5000</v>
      </c>
      <c r="J30" s="57">
        <v>5000</v>
      </c>
      <c r="K30" s="57">
        <v>5000</v>
      </c>
      <c r="L30" s="57">
        <v>5000</v>
      </c>
      <c r="M30" s="57"/>
      <c r="N30" s="57"/>
      <c r="O30" s="57"/>
      <c r="P30" s="57"/>
      <c r="Q30" s="57"/>
      <c r="R30" s="57"/>
      <c r="S30" s="57"/>
    </row>
    <row r="31" spans="1:20" x14ac:dyDescent="0.25">
      <c r="A31" s="40" t="s">
        <v>258</v>
      </c>
      <c r="B31" s="40"/>
      <c r="C31" s="40"/>
      <c r="D31" s="800" t="s">
        <v>304</v>
      </c>
      <c r="E31" s="795"/>
      <c r="F31" s="796"/>
      <c r="G31" s="58">
        <f>SUM(H31:K31)</f>
        <v>4500</v>
      </c>
      <c r="H31" s="56"/>
      <c r="I31" s="69">
        <f>500*3</f>
        <v>1500</v>
      </c>
      <c r="J31" s="69">
        <f>500*3</f>
        <v>1500</v>
      </c>
      <c r="K31" s="69">
        <f>500*3</f>
        <v>1500</v>
      </c>
      <c r="L31" s="69">
        <f>500*3</f>
        <v>1500</v>
      </c>
      <c r="M31" s="57"/>
      <c r="N31" s="57"/>
      <c r="O31" s="57"/>
      <c r="P31" s="57"/>
      <c r="Q31" s="57"/>
      <c r="R31" s="57"/>
      <c r="S31" s="57"/>
    </row>
    <row r="32" spans="1:20" x14ac:dyDescent="0.25">
      <c r="A32" s="40"/>
      <c r="B32" s="40"/>
      <c r="C32" s="40"/>
      <c r="D32" s="794"/>
      <c r="E32" s="795"/>
      <c r="F32" s="796"/>
      <c r="G32" s="58"/>
      <c r="H32" s="56"/>
      <c r="I32" s="59"/>
      <c r="J32" s="57"/>
      <c r="K32" s="57"/>
      <c r="L32" s="57"/>
      <c r="M32" s="57"/>
      <c r="N32" s="57"/>
      <c r="O32" s="57"/>
      <c r="P32" s="57"/>
      <c r="Q32" s="57"/>
      <c r="R32" s="57"/>
      <c r="S32" s="57"/>
    </row>
    <row r="33" spans="1:19" x14ac:dyDescent="0.25">
      <c r="A33" s="40"/>
      <c r="B33" s="40"/>
      <c r="C33" s="40"/>
      <c r="D33" s="794"/>
      <c r="E33" s="795"/>
      <c r="F33" s="796"/>
      <c r="G33" s="58"/>
      <c r="H33" s="56"/>
      <c r="I33" s="59"/>
      <c r="J33" s="57"/>
      <c r="K33" s="57"/>
      <c r="L33" s="57"/>
      <c r="M33" s="57"/>
      <c r="N33" s="57"/>
      <c r="O33" s="57"/>
      <c r="P33" s="57"/>
      <c r="Q33" s="57"/>
      <c r="R33" s="57"/>
      <c r="S33" s="57"/>
    </row>
    <row r="34" spans="1:19" x14ac:dyDescent="0.25">
      <c r="A34" s="40"/>
      <c r="B34" s="40"/>
      <c r="C34" s="40"/>
      <c r="D34" s="794"/>
      <c r="E34" s="795"/>
      <c r="F34" s="796"/>
      <c r="G34" s="58"/>
      <c r="H34" s="56"/>
      <c r="I34" s="59"/>
      <c r="J34" s="57"/>
      <c r="K34" s="57"/>
      <c r="L34" s="57"/>
      <c r="M34" s="57"/>
      <c r="N34" s="57"/>
      <c r="O34" s="57"/>
      <c r="P34" s="57"/>
      <c r="Q34" s="57"/>
      <c r="R34" s="57"/>
      <c r="S34" s="57"/>
    </row>
    <row r="35" spans="1:19" x14ac:dyDescent="0.25">
      <c r="A35" s="40"/>
      <c r="B35" s="40"/>
      <c r="C35" s="60"/>
      <c r="D35" s="794"/>
      <c r="E35" s="795"/>
      <c r="F35" s="796"/>
      <c r="G35" s="58"/>
      <c r="H35" s="63"/>
      <c r="I35" s="57"/>
      <c r="J35" s="57"/>
      <c r="K35" s="57"/>
      <c r="L35" s="57"/>
      <c r="M35" s="57"/>
      <c r="N35" s="57"/>
      <c r="O35" s="57"/>
      <c r="P35" s="57"/>
      <c r="Q35" s="57"/>
      <c r="R35" s="57"/>
      <c r="S35" s="57"/>
    </row>
    <row r="36" spans="1:19" x14ac:dyDescent="0.25">
      <c r="A36" s="40"/>
      <c r="B36" s="40"/>
      <c r="C36" s="60"/>
      <c r="D36" s="794"/>
      <c r="E36" s="795"/>
      <c r="F36" s="796"/>
      <c r="G36" s="58"/>
      <c r="H36" s="63"/>
      <c r="I36" s="57"/>
      <c r="J36" s="57"/>
      <c r="K36" s="57"/>
      <c r="L36" s="57"/>
      <c r="M36" s="57"/>
      <c r="N36" s="57"/>
      <c r="O36" s="57"/>
      <c r="P36" s="57"/>
      <c r="Q36" s="57"/>
      <c r="R36" s="57"/>
      <c r="S36" s="57"/>
    </row>
    <row r="37" spans="1:19" x14ac:dyDescent="0.25">
      <c r="A37" s="40"/>
      <c r="B37" s="40"/>
      <c r="C37" s="60"/>
      <c r="D37" s="794"/>
      <c r="E37" s="795"/>
      <c r="F37" s="796"/>
      <c r="G37" s="58"/>
      <c r="H37" s="63"/>
      <c r="I37" s="57"/>
      <c r="J37" s="57"/>
      <c r="K37" s="57"/>
      <c r="L37" s="57"/>
      <c r="M37" s="57"/>
      <c r="N37" s="57"/>
      <c r="O37" s="57"/>
      <c r="P37" s="57"/>
      <c r="Q37" s="57"/>
      <c r="R37" s="57"/>
      <c r="S37" s="57"/>
    </row>
    <row r="38" spans="1:19" x14ac:dyDescent="0.25">
      <c r="A38" s="40"/>
      <c r="B38" s="40"/>
      <c r="C38" s="40"/>
      <c r="D38" s="794"/>
      <c r="E38" s="795"/>
      <c r="F38" s="796"/>
      <c r="G38" s="58"/>
      <c r="H38" s="63"/>
      <c r="I38" s="57"/>
      <c r="J38" s="57"/>
      <c r="K38" s="57"/>
      <c r="L38" s="57"/>
      <c r="M38" s="57"/>
      <c r="N38" s="57"/>
      <c r="O38" s="57"/>
      <c r="P38" s="57"/>
      <c r="Q38" s="57"/>
      <c r="R38" s="57"/>
      <c r="S38" s="57"/>
    </row>
    <row r="39" spans="1:19" x14ac:dyDescent="0.25">
      <c r="A39" s="66"/>
      <c r="B39" s="40"/>
      <c r="C39" s="40"/>
      <c r="D39" s="794"/>
      <c r="E39" s="795"/>
      <c r="F39" s="796"/>
      <c r="G39" s="68"/>
      <c r="H39" s="69"/>
      <c r="I39" s="70"/>
      <c r="J39" s="70"/>
      <c r="K39" s="70"/>
      <c r="L39" s="70"/>
      <c r="M39" s="70"/>
      <c r="N39" s="70"/>
      <c r="O39" s="70"/>
      <c r="P39" s="70"/>
      <c r="Q39" s="70"/>
      <c r="R39" s="70"/>
      <c r="S39" s="70"/>
    </row>
    <row r="40" spans="1:19" x14ac:dyDescent="0.25">
      <c r="A40" s="66"/>
      <c r="B40" s="66"/>
      <c r="C40" s="66"/>
      <c r="D40" s="794"/>
      <c r="E40" s="795"/>
      <c r="F40" s="796"/>
      <c r="G40" s="72"/>
      <c r="H40" s="74"/>
      <c r="I40" s="75"/>
      <c r="J40" s="75"/>
      <c r="K40" s="75"/>
      <c r="L40" s="75"/>
      <c r="M40" s="75"/>
      <c r="N40" s="75"/>
      <c r="O40" s="75"/>
      <c r="P40" s="75"/>
      <c r="Q40" s="75"/>
      <c r="R40" s="75"/>
      <c r="S40" s="75"/>
    </row>
    <row r="41" spans="1:19" x14ac:dyDescent="0.25">
      <c r="G41" s="108">
        <f>SUM(G29:G40)</f>
        <v>64500</v>
      </c>
      <c r="H41" s="109">
        <f t="shared" ref="H41:S41" si="21">SUM(H29:H34)</f>
        <v>0</v>
      </c>
      <c r="I41" s="108">
        <f t="shared" si="21"/>
        <v>16500</v>
      </c>
      <c r="J41" s="108">
        <f t="shared" si="21"/>
        <v>16500</v>
      </c>
      <c r="K41" s="108">
        <f t="shared" si="21"/>
        <v>16500</v>
      </c>
      <c r="L41" s="108">
        <f t="shared" si="21"/>
        <v>16500</v>
      </c>
      <c r="M41" s="108">
        <f t="shared" si="21"/>
        <v>0</v>
      </c>
      <c r="N41" s="108">
        <f t="shared" si="21"/>
        <v>0</v>
      </c>
      <c r="O41" s="108">
        <f t="shared" si="21"/>
        <v>0</v>
      </c>
      <c r="P41" s="108">
        <f t="shared" si="21"/>
        <v>0</v>
      </c>
      <c r="Q41" s="108">
        <f t="shared" si="21"/>
        <v>0</v>
      </c>
      <c r="R41" s="108">
        <f t="shared" si="21"/>
        <v>0</v>
      </c>
      <c r="S41" s="108">
        <f t="shared" si="21"/>
        <v>0</v>
      </c>
    </row>
  </sheetData>
  <mergeCells count="21">
    <mergeCell ref="D35:F35"/>
    <mergeCell ref="H27:I27"/>
    <mergeCell ref="D32:F32"/>
    <mergeCell ref="D31:F31"/>
    <mergeCell ref="D33:F33"/>
    <mergeCell ref="D34:F34"/>
    <mergeCell ref="D29:F29"/>
    <mergeCell ref="D28:F28"/>
    <mergeCell ref="D30:F30"/>
    <mergeCell ref="D37:F37"/>
    <mergeCell ref="D36:F36"/>
    <mergeCell ref="D39:F39"/>
    <mergeCell ref="D40:F40"/>
    <mergeCell ref="D38:F38"/>
    <mergeCell ref="N3:Q3"/>
    <mergeCell ref="R3:S3"/>
    <mergeCell ref="J3:M3"/>
    <mergeCell ref="H3:I3"/>
    <mergeCell ref="J27:M27"/>
    <mergeCell ref="N27:Q27"/>
    <mergeCell ref="R27:S27"/>
  </mergeCells>
  <pageMargins left="0.7" right="0.7" top="0.75" bottom="0.75" header="0" footer="0"/>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R995"/>
  <sheetViews>
    <sheetView showGridLines="0" zoomScale="90" zoomScaleNormal="90" workbookViewId="0">
      <selection activeCell="B42" sqref="B42"/>
    </sheetView>
  </sheetViews>
  <sheetFormatPr defaultColWidth="14.42578125" defaultRowHeight="15" customHeight="1" outlineLevelRow="1" x14ac:dyDescent="0.25"/>
  <cols>
    <col min="1" max="1" width="3.7109375" customWidth="1"/>
    <col min="2" max="2" width="26.85546875" customWidth="1"/>
    <col min="3" max="3" width="18.7109375" customWidth="1"/>
    <col min="4" max="4" width="37" customWidth="1"/>
    <col min="5" max="5" width="18" customWidth="1"/>
    <col min="6" max="17" width="12.7109375" customWidth="1"/>
    <col min="18" max="18" width="27.85546875" customWidth="1"/>
  </cols>
  <sheetData>
    <row r="1" spans="1:18" ht="23.25" x14ac:dyDescent="0.35">
      <c r="A1" s="1" t="s">
        <v>0</v>
      </c>
      <c r="I1" s="2"/>
    </row>
    <row r="2" spans="1:18" x14ac:dyDescent="0.25">
      <c r="A2" s="3" t="s">
        <v>3</v>
      </c>
      <c r="I2" s="2"/>
    </row>
    <row r="3" spans="1:18" ht="23.25" x14ac:dyDescent="0.35">
      <c r="F3" s="801"/>
      <c r="G3" s="802"/>
      <c r="H3" s="802"/>
      <c r="I3" s="802"/>
      <c r="J3" s="802"/>
      <c r="K3" s="802"/>
      <c r="L3" s="802"/>
      <c r="M3" s="802"/>
      <c r="N3" s="802"/>
      <c r="O3" s="802"/>
    </row>
    <row r="4" spans="1:18" x14ac:dyDescent="0.25">
      <c r="D4" s="5"/>
      <c r="E4" s="5"/>
      <c r="F4" s="790">
        <v>2019</v>
      </c>
      <c r="G4" s="789"/>
      <c r="H4" s="787">
        <v>2020</v>
      </c>
      <c r="I4" s="788"/>
      <c r="J4" s="788"/>
      <c r="K4" s="789"/>
      <c r="L4" s="787">
        <v>2021</v>
      </c>
      <c r="M4" s="788"/>
      <c r="N4" s="788"/>
      <c r="O4" s="789"/>
      <c r="P4" s="790">
        <v>2022</v>
      </c>
      <c r="Q4" s="789"/>
      <c r="R4" s="5"/>
    </row>
    <row r="5" spans="1:18" x14ac:dyDescent="0.25">
      <c r="A5" s="9" t="s">
        <v>5</v>
      </c>
      <c r="B5" s="10"/>
      <c r="C5" s="12" t="s">
        <v>6</v>
      </c>
      <c r="D5" s="14" t="s">
        <v>7</v>
      </c>
      <c r="E5" s="14" t="s">
        <v>9</v>
      </c>
      <c r="F5" s="18" t="s">
        <v>10</v>
      </c>
      <c r="G5" s="20" t="s">
        <v>17</v>
      </c>
      <c r="H5" s="22" t="s">
        <v>18</v>
      </c>
      <c r="I5" s="18" t="s">
        <v>19</v>
      </c>
      <c r="J5" s="18" t="s">
        <v>10</v>
      </c>
      <c r="K5" s="20" t="s">
        <v>17</v>
      </c>
      <c r="L5" s="22" t="s">
        <v>18</v>
      </c>
      <c r="M5" s="18" t="s">
        <v>19</v>
      </c>
      <c r="N5" s="18" t="s">
        <v>10</v>
      </c>
      <c r="O5" s="20" t="s">
        <v>17</v>
      </c>
      <c r="P5" s="24" t="s">
        <v>18</v>
      </c>
      <c r="Q5" s="26" t="s">
        <v>19</v>
      </c>
      <c r="R5" s="3"/>
    </row>
    <row r="6" spans="1:18" x14ac:dyDescent="0.25">
      <c r="A6" s="5"/>
      <c r="B6" s="28" t="s">
        <v>21</v>
      </c>
      <c r="C6" s="28" t="s">
        <v>23</v>
      </c>
      <c r="D6" s="5"/>
      <c r="E6" s="28" t="s">
        <v>24</v>
      </c>
      <c r="F6" s="32">
        <f>'I. TECH'!I26</f>
        <v>0</v>
      </c>
      <c r="G6" s="34">
        <f>'I. TECH'!J26</f>
        <v>6</v>
      </c>
      <c r="H6" s="36">
        <f>'I. TECH'!K26</f>
        <v>12</v>
      </c>
      <c r="I6" s="32">
        <f>'I. TECH'!L26</f>
        <v>12</v>
      </c>
      <c r="J6" s="32">
        <f>'I. TECH'!M26</f>
        <v>14</v>
      </c>
      <c r="K6" s="38">
        <f>'I. TECH'!N26</f>
        <v>14</v>
      </c>
      <c r="L6" s="41">
        <f>'I. TECH'!O26</f>
        <v>14</v>
      </c>
      <c r="M6" s="32">
        <f>'I. TECH'!P26</f>
        <v>14</v>
      </c>
      <c r="N6" s="32">
        <f>'I. TECH'!Q26</f>
        <v>14</v>
      </c>
      <c r="O6" s="34">
        <f>'I. TECH'!R26</f>
        <v>14</v>
      </c>
      <c r="P6" s="36">
        <f>'I. TECH'!S26</f>
        <v>14</v>
      </c>
      <c r="Q6" s="38">
        <f>'I. TECH'!T26</f>
        <v>14</v>
      </c>
      <c r="R6" s="5"/>
    </row>
    <row r="7" spans="1:18" x14ac:dyDescent="0.25">
      <c r="A7" s="5"/>
      <c r="B7" s="28" t="s">
        <v>38</v>
      </c>
      <c r="C7" s="28" t="s">
        <v>23</v>
      </c>
      <c r="D7" s="28"/>
      <c r="E7" s="28" t="s">
        <v>24</v>
      </c>
      <c r="F7" s="32"/>
      <c r="G7" s="34"/>
      <c r="H7" s="36"/>
      <c r="I7" s="32"/>
      <c r="J7" s="32"/>
      <c r="K7" s="38"/>
      <c r="L7" s="41"/>
      <c r="M7" s="32"/>
      <c r="N7" s="32"/>
      <c r="O7" s="34"/>
      <c r="P7" s="36"/>
      <c r="Q7" s="38"/>
      <c r="R7" s="5"/>
    </row>
    <row r="8" spans="1:18" hidden="1" outlineLevel="1" x14ac:dyDescent="0.25">
      <c r="A8" s="5">
        <v>1</v>
      </c>
      <c r="B8" s="28" t="s">
        <v>42</v>
      </c>
      <c r="C8" s="28" t="s">
        <v>44</v>
      </c>
      <c r="D8" s="28" t="s">
        <v>45</v>
      </c>
      <c r="E8" s="28"/>
      <c r="F8" s="32"/>
      <c r="G8" s="34"/>
      <c r="H8" s="36"/>
      <c r="I8" s="32"/>
      <c r="J8" s="32"/>
      <c r="K8" s="38"/>
      <c r="L8" s="41"/>
      <c r="M8" s="32"/>
      <c r="N8" s="32"/>
      <c r="O8" s="34"/>
      <c r="P8" s="36"/>
      <c r="Q8" s="38"/>
      <c r="R8" s="5"/>
    </row>
    <row r="9" spans="1:18" hidden="1" outlineLevel="1" x14ac:dyDescent="0.25">
      <c r="A9" s="28">
        <v>2</v>
      </c>
      <c r="B9" s="28" t="s">
        <v>48</v>
      </c>
      <c r="C9" s="28" t="s">
        <v>44</v>
      </c>
      <c r="D9" s="28" t="s">
        <v>45</v>
      </c>
      <c r="E9" s="28"/>
      <c r="F9" s="32"/>
      <c r="G9" s="34"/>
      <c r="H9" s="36"/>
      <c r="I9" s="32"/>
      <c r="J9" s="32"/>
      <c r="K9" s="38"/>
      <c r="L9" s="41"/>
      <c r="M9" s="32"/>
      <c r="N9" s="32"/>
      <c r="O9" s="34"/>
      <c r="P9" s="36"/>
      <c r="Q9" s="38"/>
      <c r="R9" s="5"/>
    </row>
    <row r="10" spans="1:18" hidden="1" outlineLevel="1" x14ac:dyDescent="0.25">
      <c r="A10" s="5">
        <v>3</v>
      </c>
      <c r="B10" s="28" t="s">
        <v>50</v>
      </c>
      <c r="C10" s="28" t="s">
        <v>51</v>
      </c>
      <c r="D10" s="5"/>
      <c r="E10" s="28" t="s">
        <v>52</v>
      </c>
      <c r="F10" s="32">
        <f>'3) HW Eng'!H25</f>
        <v>0</v>
      </c>
      <c r="G10" s="34">
        <f>'3) HW Eng'!I25</f>
        <v>0</v>
      </c>
      <c r="H10" s="36">
        <f>'3) HW Eng'!J25</f>
        <v>0</v>
      </c>
      <c r="I10" s="32">
        <f>'3) HW Eng'!K25</f>
        <v>0</v>
      </c>
      <c r="J10" s="32">
        <f>'3) HW Eng'!L25</f>
        <v>0</v>
      </c>
      <c r="K10" s="38">
        <f>'3) HW Eng'!M25</f>
        <v>0</v>
      </c>
      <c r="L10" s="41">
        <f>'3) HW Eng'!N25</f>
        <v>0</v>
      </c>
      <c r="M10" s="32">
        <f>'3) HW Eng'!O25</f>
        <v>0</v>
      </c>
      <c r="N10" s="32">
        <f>'3) HW Eng'!P25</f>
        <v>0</v>
      </c>
      <c r="O10" s="34">
        <f>'3) HW Eng'!Q25</f>
        <v>0</v>
      </c>
      <c r="P10" s="36">
        <f>'3) HW Eng'!R25</f>
        <v>0</v>
      </c>
      <c r="Q10" s="38">
        <f>'3) HW Eng'!S25</f>
        <v>0</v>
      </c>
      <c r="R10" s="5"/>
    </row>
    <row r="11" spans="1:18" hidden="1" outlineLevel="1" x14ac:dyDescent="0.25">
      <c r="A11" s="5">
        <v>4</v>
      </c>
      <c r="B11" s="28" t="s">
        <v>64</v>
      </c>
      <c r="C11" s="28" t="s">
        <v>65</v>
      </c>
      <c r="D11" s="28" t="s">
        <v>66</v>
      </c>
      <c r="E11" s="28" t="s">
        <v>52</v>
      </c>
      <c r="F11" s="32">
        <f>'4) Accounting'!H25</f>
        <v>0</v>
      </c>
      <c r="G11" s="34">
        <f>'4) Accounting'!I25</f>
        <v>0</v>
      </c>
      <c r="H11" s="36">
        <f>'4) Accounting'!J25</f>
        <v>0</v>
      </c>
      <c r="I11" s="32">
        <f>'4) Accounting'!K25</f>
        <v>0</v>
      </c>
      <c r="J11" s="32">
        <f>'4) Accounting'!L25</f>
        <v>0</v>
      </c>
      <c r="K11" s="38">
        <f>'4) Accounting'!M25</f>
        <v>0</v>
      </c>
      <c r="L11" s="41">
        <f>'4) Accounting'!N25</f>
        <v>0</v>
      </c>
      <c r="M11" s="32">
        <f>'4) Accounting'!O25</f>
        <v>0</v>
      </c>
      <c r="N11" s="32">
        <f>'4) Accounting'!P25</f>
        <v>0</v>
      </c>
      <c r="O11" s="34">
        <f>'4) Accounting'!Q25</f>
        <v>0</v>
      </c>
      <c r="P11" s="36">
        <f>'4) Accounting'!R25</f>
        <v>0</v>
      </c>
      <c r="Q11" s="38">
        <f>'4) Accounting'!S25</f>
        <v>0</v>
      </c>
      <c r="R11" s="5"/>
    </row>
    <row r="12" spans="1:18" hidden="1" outlineLevel="1" x14ac:dyDescent="0.25">
      <c r="A12" s="5">
        <v>5</v>
      </c>
      <c r="B12" s="28" t="s">
        <v>68</v>
      </c>
      <c r="C12" s="28" t="s">
        <v>69</v>
      </c>
      <c r="D12" s="28" t="s">
        <v>70</v>
      </c>
      <c r="E12" s="28" t="s">
        <v>24</v>
      </c>
      <c r="F12" s="32">
        <f>'5) Tax &amp; Treasury'!H25</f>
        <v>0</v>
      </c>
      <c r="G12" s="34">
        <f>'5) Tax &amp; Treasury'!I25</f>
        <v>0</v>
      </c>
      <c r="H12" s="36">
        <f>'5) Tax &amp; Treasury'!J25</f>
        <v>0</v>
      </c>
      <c r="I12" s="32">
        <f>'5) Tax &amp; Treasury'!K25</f>
        <v>0</v>
      </c>
      <c r="J12" s="32">
        <f>'5) Tax &amp; Treasury'!L25</f>
        <v>0</v>
      </c>
      <c r="K12" s="38">
        <f>'5) Tax &amp; Treasury'!M25</f>
        <v>0</v>
      </c>
      <c r="L12" s="41">
        <f>'5) Tax &amp; Treasury'!N25</f>
        <v>0</v>
      </c>
      <c r="M12" s="32">
        <f>'5) Tax &amp; Treasury'!O25</f>
        <v>0</v>
      </c>
      <c r="N12" s="32">
        <f>'5) Tax &amp; Treasury'!P25</f>
        <v>0</v>
      </c>
      <c r="O12" s="34">
        <f>'5) Tax &amp; Treasury'!Q25</f>
        <v>0</v>
      </c>
      <c r="P12" s="36">
        <f>'5) Tax &amp; Treasury'!R25</f>
        <v>0</v>
      </c>
      <c r="Q12" s="38">
        <f>'5) Tax &amp; Treasury'!S25</f>
        <v>0</v>
      </c>
      <c r="R12" s="5"/>
    </row>
    <row r="13" spans="1:18" hidden="1" outlineLevel="1" x14ac:dyDescent="0.25">
      <c r="A13" s="5">
        <v>6</v>
      </c>
      <c r="B13" s="28" t="s">
        <v>75</v>
      </c>
      <c r="C13" s="28" t="s">
        <v>76</v>
      </c>
      <c r="D13" s="28" t="s">
        <v>77</v>
      </c>
      <c r="E13" s="28" t="s">
        <v>52</v>
      </c>
      <c r="F13" s="32">
        <f>'6) Legal'!H25</f>
        <v>0</v>
      </c>
      <c r="G13" s="34">
        <f>'6) Legal'!I25</f>
        <v>0</v>
      </c>
      <c r="H13" s="36">
        <f>'6) Legal'!J25</f>
        <v>0</v>
      </c>
      <c r="I13" s="32">
        <f>'6) Legal'!K25</f>
        <v>0</v>
      </c>
      <c r="J13" s="32">
        <f>'6) Legal'!L25</f>
        <v>0</v>
      </c>
      <c r="K13" s="38">
        <f>'6) Legal'!M25</f>
        <v>0</v>
      </c>
      <c r="L13" s="41">
        <f>'6) Legal'!N25</f>
        <v>0</v>
      </c>
      <c r="M13" s="32">
        <f>'6) Legal'!O25</f>
        <v>0</v>
      </c>
      <c r="N13" s="32">
        <f>'6) Legal'!P25</f>
        <v>0</v>
      </c>
      <c r="O13" s="34">
        <f>'6) Legal'!Q25</f>
        <v>0</v>
      </c>
      <c r="P13" s="36">
        <f>'6) Legal'!R25</f>
        <v>0</v>
      </c>
      <c r="Q13" s="38">
        <f>'6) Legal'!S25</f>
        <v>0</v>
      </c>
      <c r="R13" s="5"/>
    </row>
    <row r="14" spans="1:18" hidden="1" outlineLevel="1" x14ac:dyDescent="0.25">
      <c r="A14" s="61">
        <v>7</v>
      </c>
      <c r="B14" s="62" t="s">
        <v>78</v>
      </c>
      <c r="C14" s="62" t="s">
        <v>79</v>
      </c>
      <c r="D14" s="62" t="s">
        <v>80</v>
      </c>
      <c r="E14" s="62" t="s">
        <v>81</v>
      </c>
      <c r="F14" s="64">
        <f>'7) HR'!H25</f>
        <v>0</v>
      </c>
      <c r="G14" s="65">
        <f>'7) HR'!I25</f>
        <v>0</v>
      </c>
      <c r="H14" s="67">
        <f>'7) HR'!J25</f>
        <v>0</v>
      </c>
      <c r="I14" s="64">
        <f>'7) HR'!K25</f>
        <v>0</v>
      </c>
      <c r="J14" s="64">
        <f>'7) HR'!L25</f>
        <v>0</v>
      </c>
      <c r="K14" s="71">
        <f>'7) HR'!M25</f>
        <v>0</v>
      </c>
      <c r="L14" s="73">
        <f>'7) HR'!N25</f>
        <v>0</v>
      </c>
      <c r="M14" s="64">
        <f>'7) HR'!O25</f>
        <v>0</v>
      </c>
      <c r="N14" s="64">
        <f>'7) HR'!P25</f>
        <v>0</v>
      </c>
      <c r="O14" s="65">
        <f>'7) HR'!Q25</f>
        <v>0</v>
      </c>
      <c r="P14" s="67">
        <f>'7) HR'!R25</f>
        <v>0</v>
      </c>
      <c r="Q14" s="71">
        <f>'7) HR'!S25</f>
        <v>0</v>
      </c>
      <c r="R14" s="62" t="s">
        <v>82</v>
      </c>
    </row>
    <row r="15" spans="1:18" hidden="1" outlineLevel="1" x14ac:dyDescent="0.25">
      <c r="A15" s="5">
        <v>8</v>
      </c>
      <c r="B15" s="28" t="s">
        <v>83</v>
      </c>
      <c r="C15" s="28" t="s">
        <v>84</v>
      </c>
      <c r="D15" s="28" t="s">
        <v>85</v>
      </c>
      <c r="E15" s="28" t="s">
        <v>52</v>
      </c>
      <c r="F15" s="32">
        <f>'8) Facilities'!H25</f>
        <v>0</v>
      </c>
      <c r="G15" s="34">
        <f>'8) Facilities'!I25</f>
        <v>0</v>
      </c>
      <c r="H15" s="36">
        <f>'8) Facilities'!J25</f>
        <v>0</v>
      </c>
      <c r="I15" s="32">
        <f>'8) Facilities'!K25</f>
        <v>0</v>
      </c>
      <c r="J15" s="32">
        <f>'8) Facilities'!L25</f>
        <v>0</v>
      </c>
      <c r="K15" s="38">
        <f>'8) Facilities'!M25</f>
        <v>0</v>
      </c>
      <c r="L15" s="41">
        <f>'8) Facilities'!N25</f>
        <v>0</v>
      </c>
      <c r="M15" s="32">
        <f>'8) Facilities'!O25</f>
        <v>0</v>
      </c>
      <c r="N15" s="32">
        <f>'8) Facilities'!P25</f>
        <v>0</v>
      </c>
      <c r="O15" s="34">
        <f>'8) Facilities'!Q25</f>
        <v>0</v>
      </c>
      <c r="P15" s="36">
        <f>'8) Facilities'!R25</f>
        <v>0</v>
      </c>
      <c r="Q15" s="38">
        <f>'8) Facilities'!S25</f>
        <v>0</v>
      </c>
      <c r="R15" s="5"/>
    </row>
    <row r="16" spans="1:18" hidden="1" outlineLevel="1" x14ac:dyDescent="0.25">
      <c r="A16" s="5">
        <v>9</v>
      </c>
      <c r="B16" s="28" t="s">
        <v>86</v>
      </c>
      <c r="C16" s="28" t="s">
        <v>87</v>
      </c>
      <c r="D16" s="5"/>
      <c r="E16" s="28" t="s">
        <v>24</v>
      </c>
      <c r="F16" s="32">
        <f>'9) Marketing'!H25</f>
        <v>0</v>
      </c>
      <c r="G16" s="34">
        <f>'9) Marketing'!I25</f>
        <v>0</v>
      </c>
      <c r="H16" s="36">
        <f>'9) Marketing'!J25</f>
        <v>0</v>
      </c>
      <c r="I16" s="32">
        <f>'9) Marketing'!K25</f>
        <v>0</v>
      </c>
      <c r="J16" s="32">
        <f>'9) Marketing'!L25</f>
        <v>0</v>
      </c>
      <c r="K16" s="38">
        <f>'9) Marketing'!M25</f>
        <v>0</v>
      </c>
      <c r="L16" s="41">
        <f>'9) Marketing'!N25</f>
        <v>0</v>
      </c>
      <c r="M16" s="32">
        <f>'9) Marketing'!O25</f>
        <v>0</v>
      </c>
      <c r="N16" s="32">
        <f>'9) Marketing'!P25</f>
        <v>0</v>
      </c>
      <c r="O16" s="34">
        <f>'9) Marketing'!Q25</f>
        <v>0</v>
      </c>
      <c r="P16" s="36">
        <f>'9) Marketing'!R25</f>
        <v>0</v>
      </c>
      <c r="Q16" s="38">
        <f>'9) Marketing'!S25</f>
        <v>0</v>
      </c>
      <c r="R16" s="5"/>
    </row>
    <row r="17" spans="1:18" hidden="1" outlineLevel="1" x14ac:dyDescent="0.25">
      <c r="A17" s="5">
        <v>10</v>
      </c>
      <c r="B17" s="28" t="s">
        <v>88</v>
      </c>
      <c r="C17" s="28" t="s">
        <v>89</v>
      </c>
      <c r="D17" s="5"/>
      <c r="E17" s="28" t="s">
        <v>24</v>
      </c>
      <c r="F17" s="32">
        <f>'10) Int''l S&amp;M'!H25</f>
        <v>0</v>
      </c>
      <c r="G17" s="34">
        <f>'10) Int''l S&amp;M'!I25</f>
        <v>0</v>
      </c>
      <c r="H17" s="36">
        <f>'10) Int''l S&amp;M'!J25</f>
        <v>0</v>
      </c>
      <c r="I17" s="32">
        <f>'10) Int''l S&amp;M'!K25</f>
        <v>0</v>
      </c>
      <c r="J17" s="32">
        <f>'10) Int''l S&amp;M'!L25</f>
        <v>0</v>
      </c>
      <c r="K17" s="38">
        <f>'10) Int''l S&amp;M'!M25</f>
        <v>0</v>
      </c>
      <c r="L17" s="41">
        <f>'10) Int''l S&amp;M'!N25</f>
        <v>0</v>
      </c>
      <c r="M17" s="32">
        <f>'10) Int''l S&amp;M'!O25</f>
        <v>0</v>
      </c>
      <c r="N17" s="32">
        <f>'10) Int''l S&amp;M'!P25</f>
        <v>0</v>
      </c>
      <c r="O17" s="34">
        <f>'10) Int''l S&amp;M'!Q25</f>
        <v>0</v>
      </c>
      <c r="P17" s="36">
        <f>'10) Int''l S&amp;M'!R25</f>
        <v>0</v>
      </c>
      <c r="Q17" s="38">
        <f>'10) Int''l S&amp;M'!S25</f>
        <v>0</v>
      </c>
      <c r="R17" s="5"/>
    </row>
    <row r="18" spans="1:18" hidden="1" outlineLevel="1" x14ac:dyDescent="0.25">
      <c r="A18" s="5">
        <v>11</v>
      </c>
      <c r="B18" s="28" t="s">
        <v>90</v>
      </c>
      <c r="C18" s="28" t="s">
        <v>91</v>
      </c>
      <c r="D18" s="28" t="s">
        <v>92</v>
      </c>
      <c r="E18" s="28" t="s">
        <v>52</v>
      </c>
      <c r="F18" s="32">
        <f>'11) IT-Infrastructure'!H25</f>
        <v>0</v>
      </c>
      <c r="G18" s="34">
        <f>'11) IT-Infrastructure'!I25</f>
        <v>0</v>
      </c>
      <c r="H18" s="36">
        <f>'11) IT-Infrastructure'!J25</f>
        <v>0</v>
      </c>
      <c r="I18" s="32">
        <f>'11) IT-Infrastructure'!K25</f>
        <v>0</v>
      </c>
      <c r="J18" s="32">
        <f>'11) IT-Infrastructure'!L25</f>
        <v>0</v>
      </c>
      <c r="K18" s="38">
        <f>'11) IT-Infrastructure'!M25</f>
        <v>0</v>
      </c>
      <c r="L18" s="41">
        <f>'11) IT-Infrastructure'!N25</f>
        <v>0</v>
      </c>
      <c r="M18" s="32">
        <f>'11) IT-Infrastructure'!O25</f>
        <v>0</v>
      </c>
      <c r="N18" s="32">
        <f>'11) IT-Infrastructure'!P25</f>
        <v>0</v>
      </c>
      <c r="O18" s="34">
        <f>'11) IT-Infrastructure'!Q25</f>
        <v>0</v>
      </c>
      <c r="P18" s="36">
        <f>'11) IT-Infrastructure'!R25</f>
        <v>0</v>
      </c>
      <c r="Q18" s="38">
        <f>'11) IT-Infrastructure'!S25</f>
        <v>0</v>
      </c>
      <c r="R18" s="5"/>
    </row>
    <row r="19" spans="1:18" hidden="1" outlineLevel="1" x14ac:dyDescent="0.25">
      <c r="A19" s="5">
        <v>12</v>
      </c>
      <c r="B19" s="28" t="s">
        <v>93</v>
      </c>
      <c r="C19" s="28" t="s">
        <v>94</v>
      </c>
      <c r="D19" s="28" t="s">
        <v>92</v>
      </c>
      <c r="E19" s="28" t="s">
        <v>52</v>
      </c>
      <c r="F19" s="83"/>
      <c r="G19" s="34">
        <f>'12) IT- Apps'!I25</f>
        <v>0</v>
      </c>
      <c r="H19" s="36">
        <f>'12) IT- Apps'!J25</f>
        <v>0</v>
      </c>
      <c r="I19" s="32">
        <f>'12) IT- Apps'!K25</f>
        <v>0</v>
      </c>
      <c r="J19" s="32">
        <f>'12) IT- Apps'!L25</f>
        <v>0</v>
      </c>
      <c r="K19" s="38">
        <f>'12) IT- Apps'!M25</f>
        <v>0</v>
      </c>
      <c r="L19" s="41">
        <f>'12) IT- Apps'!N25</f>
        <v>0</v>
      </c>
      <c r="M19" s="32">
        <f>'12) IT- Apps'!O25</f>
        <v>0</v>
      </c>
      <c r="N19" s="32">
        <f>'12) IT- Apps'!P25</f>
        <v>0</v>
      </c>
      <c r="O19" s="34">
        <f>'12) IT- Apps'!Q25</f>
        <v>0</v>
      </c>
      <c r="P19" s="36">
        <f>'12) IT- Apps'!R25</f>
        <v>0</v>
      </c>
      <c r="Q19" s="38">
        <f>'12) IT- Apps'!S25</f>
        <v>0</v>
      </c>
      <c r="R19" s="5"/>
    </row>
    <row r="20" spans="1:18" hidden="1" outlineLevel="1" x14ac:dyDescent="0.25">
      <c r="A20" s="5">
        <v>13</v>
      </c>
      <c r="B20" s="28" t="s">
        <v>99</v>
      </c>
      <c r="C20" s="28" t="s">
        <v>101</v>
      </c>
      <c r="D20" s="28" t="s">
        <v>102</v>
      </c>
      <c r="E20" s="28" t="s">
        <v>24</v>
      </c>
      <c r="F20" s="32">
        <f>'13) IT- Security'!H25</f>
        <v>0</v>
      </c>
      <c r="G20" s="34">
        <f>'13) IT- Security'!I25</f>
        <v>0</v>
      </c>
      <c r="H20" s="36">
        <f>'13) IT- Security'!J25</f>
        <v>0</v>
      </c>
      <c r="I20" s="32">
        <f>'13) IT- Security'!K25</f>
        <v>0</v>
      </c>
      <c r="J20" s="32">
        <f>'13) IT- Security'!L25</f>
        <v>0</v>
      </c>
      <c r="K20" s="38">
        <f>'13) IT- Security'!M25</f>
        <v>0</v>
      </c>
      <c r="L20" s="41">
        <f>'13) IT- Security'!N25</f>
        <v>0</v>
      </c>
      <c r="M20" s="32">
        <f>'13) IT- Security'!O25</f>
        <v>0</v>
      </c>
      <c r="N20" s="32">
        <f>'13) IT- Security'!P25</f>
        <v>0</v>
      </c>
      <c r="O20" s="34">
        <f>'13) IT- Security'!Q25</f>
        <v>0</v>
      </c>
      <c r="P20" s="36">
        <f>'13) IT- Security'!R25</f>
        <v>0</v>
      </c>
      <c r="Q20" s="38">
        <f>'13) IT- Security'!S25</f>
        <v>0</v>
      </c>
      <c r="R20" s="5"/>
    </row>
    <row r="21" spans="1:18" hidden="1" outlineLevel="1" x14ac:dyDescent="0.25">
      <c r="A21" s="5">
        <v>14</v>
      </c>
      <c r="B21" s="28" t="s">
        <v>106</v>
      </c>
      <c r="C21" s="28" t="s">
        <v>107</v>
      </c>
      <c r="D21" s="5"/>
      <c r="E21" s="28" t="s">
        <v>52</v>
      </c>
      <c r="F21" s="32">
        <f>'14) Operations'!H25</f>
        <v>0</v>
      </c>
      <c r="G21" s="32">
        <f>'14) Operations'!I25</f>
        <v>0</v>
      </c>
      <c r="H21" s="32">
        <f>'14) Operations'!J25</f>
        <v>0</v>
      </c>
      <c r="I21" s="32">
        <f>'14) Operations'!K25</f>
        <v>0</v>
      </c>
      <c r="J21" s="32">
        <f>'14) Operations'!L25</f>
        <v>0</v>
      </c>
      <c r="K21" s="32">
        <f>'14) Operations'!M25</f>
        <v>0</v>
      </c>
      <c r="L21" s="32">
        <f>'14) Operations'!N25</f>
        <v>0</v>
      </c>
      <c r="M21" s="32">
        <f>'14) Operations'!O25</f>
        <v>0</v>
      </c>
      <c r="N21" s="97">
        <f>'14) Operations'!P25</f>
        <v>0</v>
      </c>
      <c r="O21" s="99">
        <f>'14) Operations'!Q25</f>
        <v>0</v>
      </c>
      <c r="P21" s="101">
        <f>'14) Operations'!R25</f>
        <v>0</v>
      </c>
      <c r="Q21" s="102">
        <f>'14) Operations'!S25</f>
        <v>0</v>
      </c>
      <c r="R21" s="5"/>
    </row>
    <row r="22" spans="1:18" collapsed="1" x14ac:dyDescent="0.25">
      <c r="A22" s="103"/>
      <c r="B22" s="5"/>
      <c r="C22" s="5"/>
      <c r="D22" s="104"/>
      <c r="E22" s="104"/>
      <c r="F22" s="105">
        <f t="shared" ref="F22:Q22" si="0">SUM(F6:F21)</f>
        <v>0</v>
      </c>
      <c r="G22" s="105">
        <f t="shared" si="0"/>
        <v>6</v>
      </c>
      <c r="H22" s="106">
        <f t="shared" si="0"/>
        <v>12</v>
      </c>
      <c r="I22" s="105">
        <f t="shared" si="0"/>
        <v>12</v>
      </c>
      <c r="J22" s="105">
        <f t="shared" si="0"/>
        <v>14</v>
      </c>
      <c r="K22" s="107">
        <f t="shared" si="0"/>
        <v>14</v>
      </c>
      <c r="L22" s="106">
        <f t="shared" si="0"/>
        <v>14</v>
      </c>
      <c r="M22" s="105">
        <f t="shared" si="0"/>
        <v>14</v>
      </c>
      <c r="N22" s="105">
        <f t="shared" si="0"/>
        <v>14</v>
      </c>
      <c r="O22" s="105">
        <f t="shared" si="0"/>
        <v>14</v>
      </c>
      <c r="P22" s="106">
        <f t="shared" si="0"/>
        <v>14</v>
      </c>
      <c r="Q22" s="107">
        <f t="shared" si="0"/>
        <v>14</v>
      </c>
      <c r="R22" s="104"/>
    </row>
    <row r="23" spans="1:18" ht="23.25" x14ac:dyDescent="0.35">
      <c r="A23" s="103"/>
      <c r="B23" s="5"/>
      <c r="C23" s="5"/>
      <c r="D23" s="5"/>
      <c r="E23" s="5"/>
      <c r="F23" s="4"/>
      <c r="G23" s="4"/>
      <c r="H23" s="4"/>
      <c r="I23" s="4"/>
      <c r="J23" s="4"/>
      <c r="K23" s="4"/>
      <c r="L23" s="4"/>
      <c r="M23" s="4"/>
      <c r="N23" s="4"/>
      <c r="O23" s="4"/>
      <c r="P23" s="4"/>
      <c r="Q23" s="4"/>
      <c r="R23" s="5"/>
    </row>
    <row r="24" spans="1:18" ht="23.25" x14ac:dyDescent="0.35">
      <c r="A24" s="103"/>
      <c r="B24" s="5"/>
      <c r="C24" s="5"/>
      <c r="D24" s="5"/>
      <c r="E24" s="5"/>
      <c r="F24" s="801"/>
      <c r="G24" s="802"/>
      <c r="H24" s="802"/>
      <c r="I24" s="802"/>
      <c r="J24" s="802"/>
      <c r="K24" s="802"/>
      <c r="L24" s="802"/>
      <c r="M24" s="802"/>
      <c r="N24" s="802"/>
      <c r="O24" s="802"/>
      <c r="R24" s="5"/>
    </row>
    <row r="25" spans="1:18" x14ac:dyDescent="0.25">
      <c r="A25" s="103"/>
      <c r="C25" s="5"/>
      <c r="F25" s="790">
        <v>2019</v>
      </c>
      <c r="G25" s="789"/>
      <c r="H25" s="790">
        <v>2020</v>
      </c>
      <c r="I25" s="788"/>
      <c r="J25" s="788"/>
      <c r="K25" s="789"/>
      <c r="L25" s="790">
        <v>2021</v>
      </c>
      <c r="M25" s="788"/>
      <c r="N25" s="788"/>
      <c r="O25" s="789"/>
      <c r="P25" s="790">
        <v>2022</v>
      </c>
      <c r="Q25" s="789"/>
    </row>
    <row r="26" spans="1:18" x14ac:dyDescent="0.25">
      <c r="A26" s="111" t="s">
        <v>67</v>
      </c>
      <c r="B26" s="112"/>
      <c r="C26" s="12" t="s">
        <v>6</v>
      </c>
      <c r="D26" s="14" t="s">
        <v>7</v>
      </c>
      <c r="E26" s="14" t="s">
        <v>9</v>
      </c>
      <c r="F26" s="18" t="s">
        <v>10</v>
      </c>
      <c r="G26" s="20" t="s">
        <v>17</v>
      </c>
      <c r="H26" s="22" t="s">
        <v>18</v>
      </c>
      <c r="I26" s="18" t="s">
        <v>19</v>
      </c>
      <c r="J26" s="18" t="s">
        <v>10</v>
      </c>
      <c r="K26" s="20" t="s">
        <v>17</v>
      </c>
      <c r="L26" s="22" t="s">
        <v>18</v>
      </c>
      <c r="M26" s="18" t="s">
        <v>19</v>
      </c>
      <c r="N26" s="18" t="s">
        <v>10</v>
      </c>
      <c r="O26" s="20" t="s">
        <v>17</v>
      </c>
      <c r="P26" s="24" t="s">
        <v>18</v>
      </c>
      <c r="Q26" s="26" t="s">
        <v>19</v>
      </c>
      <c r="R26" s="3"/>
    </row>
    <row r="27" spans="1:18" x14ac:dyDescent="0.25">
      <c r="A27" s="5">
        <v>1</v>
      </c>
      <c r="B27" s="28" t="s">
        <v>42</v>
      </c>
      <c r="C27" s="28" t="s">
        <v>44</v>
      </c>
      <c r="D27" s="5"/>
      <c r="E27" s="28" t="s">
        <v>24</v>
      </c>
      <c r="F27" s="114">
        <f>'1) ProductUX'!H41</f>
        <v>0</v>
      </c>
      <c r="G27" s="115">
        <f>'1) ProductUX'!I41</f>
        <v>0</v>
      </c>
      <c r="H27" s="116">
        <f>'1) ProductUX'!J41</f>
        <v>0</v>
      </c>
      <c r="I27" s="114">
        <f>'1) ProductUX'!K41</f>
        <v>0</v>
      </c>
      <c r="J27" s="114">
        <f>'1) ProductUX'!L41</f>
        <v>0</v>
      </c>
      <c r="K27" s="117">
        <f>'1) ProductUX'!M41</f>
        <v>0</v>
      </c>
      <c r="L27" s="118">
        <f>'1) ProductUX'!N41</f>
        <v>0</v>
      </c>
      <c r="M27" s="114">
        <f>'1) ProductUX'!O41</f>
        <v>0</v>
      </c>
      <c r="N27" s="114">
        <f>'1) ProductUX'!P41</f>
        <v>0</v>
      </c>
      <c r="O27" s="115">
        <f>'1) ProductUX'!Q41</f>
        <v>0</v>
      </c>
      <c r="P27" s="116">
        <f>'1) ProductUX'!R41</f>
        <v>0</v>
      </c>
      <c r="Q27" s="117">
        <f>'1) ProductUX'!S41</f>
        <v>0</v>
      </c>
      <c r="R27" s="5"/>
    </row>
    <row r="28" spans="1:18" x14ac:dyDescent="0.25">
      <c r="A28" s="5">
        <v>2</v>
      </c>
      <c r="B28" s="28" t="s">
        <v>48</v>
      </c>
      <c r="C28" s="28" t="s">
        <v>113</v>
      </c>
      <c r="D28" s="28" t="s">
        <v>114</v>
      </c>
      <c r="E28" s="28" t="s">
        <v>24</v>
      </c>
      <c r="F28" s="114">
        <f>'2) SW Eng'!H41</f>
        <v>0</v>
      </c>
      <c r="G28" s="114">
        <f>'2) SW Eng'!I41</f>
        <v>25564.375</v>
      </c>
      <c r="H28" s="114">
        <f>'2) SW Eng'!J41</f>
        <v>19164.375</v>
      </c>
      <c r="I28" s="114">
        <f>'2) SW Eng'!K41</f>
        <v>19164.375</v>
      </c>
      <c r="J28" s="114">
        <f>'2) SW Eng'!L41</f>
        <v>19414.375</v>
      </c>
      <c r="K28" s="114">
        <f>'2) SW Eng'!M41</f>
        <v>6914.375</v>
      </c>
      <c r="L28" s="114">
        <f>'2) SW Eng'!N41</f>
        <v>3500</v>
      </c>
      <c r="M28" s="114">
        <f>'2) SW Eng'!O41</f>
        <v>3500</v>
      </c>
      <c r="N28" s="114">
        <f>'2) SW Eng'!P41</f>
        <v>3500</v>
      </c>
      <c r="O28" s="114">
        <f>'2) SW Eng'!Q41</f>
        <v>3500</v>
      </c>
      <c r="P28" s="114">
        <f>'2) SW Eng'!R41</f>
        <v>3500</v>
      </c>
      <c r="Q28" s="114">
        <f>'2) SW Eng'!S41</f>
        <v>3500</v>
      </c>
      <c r="R28" s="5"/>
    </row>
    <row r="29" spans="1:18" x14ac:dyDescent="0.25">
      <c r="A29" s="5">
        <v>3</v>
      </c>
      <c r="B29" s="28" t="s">
        <v>50</v>
      </c>
      <c r="C29" s="28" t="s">
        <v>51</v>
      </c>
      <c r="D29" s="5"/>
      <c r="E29" s="28" t="s">
        <v>24</v>
      </c>
      <c r="F29" s="114">
        <f>'3) HW Eng'!H41</f>
        <v>0</v>
      </c>
      <c r="G29" s="115">
        <f>'3) HW Eng'!I41</f>
        <v>0</v>
      </c>
      <c r="H29" s="116">
        <f>'3) HW Eng'!J41</f>
        <v>0</v>
      </c>
      <c r="I29" s="114">
        <f>'3) HW Eng'!K41</f>
        <v>0</v>
      </c>
      <c r="J29" s="114">
        <f>'3) HW Eng'!L41</f>
        <v>0</v>
      </c>
      <c r="K29" s="117">
        <f>'3) HW Eng'!M41</f>
        <v>0</v>
      </c>
      <c r="L29" s="118">
        <f>'3) HW Eng'!N41</f>
        <v>0</v>
      </c>
      <c r="M29" s="114">
        <f>'3) HW Eng'!O41</f>
        <v>0</v>
      </c>
      <c r="N29" s="114">
        <f>'3) HW Eng'!P41</f>
        <v>0</v>
      </c>
      <c r="O29" s="115">
        <f>'3) HW Eng'!Q41</f>
        <v>0</v>
      </c>
      <c r="P29" s="116">
        <f>'3) HW Eng'!R41</f>
        <v>0</v>
      </c>
      <c r="Q29" s="117">
        <f>'3) HW Eng'!S41</f>
        <v>0</v>
      </c>
      <c r="R29" s="5"/>
    </row>
    <row r="30" spans="1:18" x14ac:dyDescent="0.25">
      <c r="A30" s="5">
        <v>4</v>
      </c>
      <c r="B30" s="28" t="s">
        <v>64</v>
      </c>
      <c r="C30" s="28" t="s">
        <v>65</v>
      </c>
      <c r="D30" s="28" t="s">
        <v>66</v>
      </c>
      <c r="E30" s="28" t="s">
        <v>24</v>
      </c>
      <c r="F30" s="114">
        <f>'4) Accounting'!H41</f>
        <v>0</v>
      </c>
      <c r="G30" s="115">
        <f>'4) Accounting'!I41</f>
        <v>45000</v>
      </c>
      <c r="H30" s="116">
        <f>'4) Accounting'!J41</f>
        <v>0</v>
      </c>
      <c r="I30" s="114">
        <f>'4) Accounting'!K41</f>
        <v>0</v>
      </c>
      <c r="J30" s="114">
        <f>'4) Accounting'!L41</f>
        <v>0</v>
      </c>
      <c r="K30" s="117">
        <f>'4) Accounting'!M41</f>
        <v>0</v>
      </c>
      <c r="L30" s="118">
        <f>'4) Accounting'!N41</f>
        <v>0</v>
      </c>
      <c r="M30" s="114">
        <f>'4) Accounting'!O41</f>
        <v>0</v>
      </c>
      <c r="N30" s="114">
        <f>'4) Accounting'!P41</f>
        <v>0</v>
      </c>
      <c r="O30" s="115">
        <f>'4) Accounting'!Q41</f>
        <v>0</v>
      </c>
      <c r="P30" s="116">
        <f>'4) Accounting'!R41</f>
        <v>0</v>
      </c>
      <c r="Q30" s="117">
        <f>'4) Accounting'!S41</f>
        <v>0</v>
      </c>
      <c r="R30" s="5"/>
    </row>
    <row r="31" spans="1:18" x14ac:dyDescent="0.25">
      <c r="A31" s="5">
        <v>5</v>
      </c>
      <c r="B31" s="28" t="s">
        <v>115</v>
      </c>
      <c r="C31" s="28" t="s">
        <v>69</v>
      </c>
      <c r="D31" s="28" t="s">
        <v>70</v>
      </c>
      <c r="E31" s="28" t="s">
        <v>24</v>
      </c>
      <c r="F31" s="114">
        <f>'5) Tax &amp; Treasury'!H41</f>
        <v>0</v>
      </c>
      <c r="G31" s="115">
        <f>'5) Tax &amp; Treasury'!I41</f>
        <v>0</v>
      </c>
      <c r="H31" s="116">
        <f>'5) Tax &amp; Treasury'!J41</f>
        <v>0</v>
      </c>
      <c r="I31" s="120">
        <v>12000</v>
      </c>
      <c r="J31" s="114">
        <f>'5) Tax &amp; Treasury'!L41</f>
        <v>0</v>
      </c>
      <c r="K31" s="117">
        <f>'5) Tax &amp; Treasury'!M41</f>
        <v>0</v>
      </c>
      <c r="L31" s="118">
        <f>'5) Tax &amp; Treasury'!N41</f>
        <v>0</v>
      </c>
      <c r="M31" s="120">
        <v>12000</v>
      </c>
      <c r="N31" s="114">
        <f>'5) Tax &amp; Treasury'!P41</f>
        <v>0</v>
      </c>
      <c r="O31" s="115">
        <f>'5) Tax &amp; Treasury'!Q41</f>
        <v>0</v>
      </c>
      <c r="P31" s="116">
        <f>'5) Tax &amp; Treasury'!R41</f>
        <v>0</v>
      </c>
      <c r="Q31" s="121">
        <v>12000</v>
      </c>
      <c r="R31" s="5"/>
    </row>
    <row r="32" spans="1:18" x14ac:dyDescent="0.25">
      <c r="A32" s="5">
        <v>6</v>
      </c>
      <c r="B32" s="28" t="s">
        <v>75</v>
      </c>
      <c r="C32" s="28" t="s">
        <v>76</v>
      </c>
      <c r="D32" s="28" t="s">
        <v>77</v>
      </c>
      <c r="E32" s="28" t="s">
        <v>24</v>
      </c>
      <c r="F32" s="114">
        <f>'6) Legal'!H41</f>
        <v>0</v>
      </c>
      <c r="G32" s="115">
        <f>'6) Legal'!I41</f>
        <v>0</v>
      </c>
      <c r="H32" s="116">
        <f>'6) Legal'!J41</f>
        <v>0</v>
      </c>
      <c r="I32" s="114">
        <f>'6) Legal'!K41</f>
        <v>0</v>
      </c>
      <c r="J32" s="114">
        <f>'6) Legal'!L41</f>
        <v>0</v>
      </c>
      <c r="K32" s="117">
        <f>'6) Legal'!M41</f>
        <v>0</v>
      </c>
      <c r="L32" s="118">
        <f>'6) Legal'!N41</f>
        <v>0</v>
      </c>
      <c r="M32" s="114">
        <f>'6) Legal'!O41</f>
        <v>0</v>
      </c>
      <c r="N32" s="114">
        <f>'6) Legal'!P41</f>
        <v>0</v>
      </c>
      <c r="O32" s="115">
        <f>'6) Legal'!Q41</f>
        <v>0</v>
      </c>
      <c r="P32" s="116">
        <f>'6) Legal'!R41</f>
        <v>0</v>
      </c>
      <c r="Q32" s="117">
        <f>'6) Legal'!S41</f>
        <v>0</v>
      </c>
      <c r="R32" s="5"/>
    </row>
    <row r="33" spans="1:18" x14ac:dyDescent="0.25">
      <c r="A33" s="61">
        <v>7</v>
      </c>
      <c r="B33" s="62" t="s">
        <v>78</v>
      </c>
      <c r="C33" s="62" t="s">
        <v>79</v>
      </c>
      <c r="D33" s="62" t="s">
        <v>80</v>
      </c>
      <c r="E33" s="62" t="s">
        <v>81</v>
      </c>
      <c r="F33" s="122">
        <f>'7) HR'!H41</f>
        <v>0</v>
      </c>
      <c r="G33" s="123">
        <f>'7) HR'!I41</f>
        <v>0</v>
      </c>
      <c r="H33" s="124">
        <f>'7) HR'!J41</f>
        <v>0</v>
      </c>
      <c r="I33" s="122">
        <f>'7) HR'!K41</f>
        <v>0</v>
      </c>
      <c r="J33" s="122">
        <f>'7) HR'!L41</f>
        <v>0</v>
      </c>
      <c r="K33" s="125">
        <f>'7) HR'!M41</f>
        <v>0</v>
      </c>
      <c r="L33" s="126">
        <f>'7) HR'!N41</f>
        <v>0</v>
      </c>
      <c r="M33" s="122">
        <f>'7) HR'!O41</f>
        <v>0</v>
      </c>
      <c r="N33" s="122">
        <f>'7) HR'!P41</f>
        <v>0</v>
      </c>
      <c r="O33" s="123">
        <f>'7) HR'!Q41</f>
        <v>0</v>
      </c>
      <c r="P33" s="124">
        <f>'7) HR'!R41</f>
        <v>0</v>
      </c>
      <c r="Q33" s="125">
        <f>'7) HR'!S41</f>
        <v>0</v>
      </c>
      <c r="R33" s="62" t="s">
        <v>82</v>
      </c>
    </row>
    <row r="34" spans="1:18" x14ac:dyDescent="0.25">
      <c r="A34" s="5">
        <v>8</v>
      </c>
      <c r="B34" s="28" t="s">
        <v>83</v>
      </c>
      <c r="C34" s="28" t="s">
        <v>84</v>
      </c>
      <c r="D34" s="28" t="s">
        <v>116</v>
      </c>
      <c r="E34" s="28" t="s">
        <v>24</v>
      </c>
      <c r="F34" s="114">
        <f>'8) Facilities'!H41</f>
        <v>0</v>
      </c>
      <c r="G34" s="115">
        <f>'8) Facilities'!I41</f>
        <v>22963</v>
      </c>
      <c r="H34" s="116">
        <f>'8) Facilities'!J41</f>
        <v>177439</v>
      </c>
      <c r="I34" s="114">
        <f>'8) Facilities'!K41</f>
        <v>177439</v>
      </c>
      <c r="J34" s="114">
        <f>'8) Facilities'!L41</f>
        <v>154476</v>
      </c>
      <c r="K34" s="117">
        <f>'8) Facilities'!M41</f>
        <v>154476</v>
      </c>
      <c r="L34" s="118">
        <f>'8) Facilities'!N41</f>
        <v>0</v>
      </c>
      <c r="M34" s="114">
        <f>'8) Facilities'!O41</f>
        <v>0</v>
      </c>
      <c r="N34" s="114">
        <f>'8) Facilities'!P41</f>
        <v>0</v>
      </c>
      <c r="O34" s="115">
        <f>'8) Facilities'!Q41</f>
        <v>0</v>
      </c>
      <c r="P34" s="116">
        <f>'8) Facilities'!R41</f>
        <v>0</v>
      </c>
      <c r="Q34" s="117">
        <f>'8) Facilities'!S41</f>
        <v>0</v>
      </c>
      <c r="R34" s="5"/>
    </row>
    <row r="35" spans="1:18" x14ac:dyDescent="0.25">
      <c r="A35" s="5">
        <v>9</v>
      </c>
      <c r="B35" s="28" t="s">
        <v>86</v>
      </c>
      <c r="C35" s="28" t="s">
        <v>87</v>
      </c>
      <c r="D35" s="5"/>
      <c r="E35" s="28" t="s">
        <v>24</v>
      </c>
      <c r="F35" s="114">
        <f>'9) Marketing'!H41</f>
        <v>0</v>
      </c>
      <c r="G35" s="115">
        <f>'9) Marketing'!I41</f>
        <v>0</v>
      </c>
      <c r="H35" s="116">
        <f>'9) Marketing'!J41</f>
        <v>0</v>
      </c>
      <c r="I35" s="114">
        <f>'9) Marketing'!K41</f>
        <v>0</v>
      </c>
      <c r="J35" s="114">
        <f>'9) Marketing'!L41</f>
        <v>0</v>
      </c>
      <c r="K35" s="117">
        <f>'9) Marketing'!M41</f>
        <v>0</v>
      </c>
      <c r="L35" s="118">
        <f>'9) Marketing'!N41</f>
        <v>0</v>
      </c>
      <c r="M35" s="114">
        <f>'9) Marketing'!O41</f>
        <v>0</v>
      </c>
      <c r="N35" s="114">
        <f>'9) Marketing'!P41</f>
        <v>0</v>
      </c>
      <c r="O35" s="115">
        <f>'9) Marketing'!Q41</f>
        <v>0</v>
      </c>
      <c r="P35" s="116">
        <f>'9) Marketing'!R41</f>
        <v>0</v>
      </c>
      <c r="Q35" s="117">
        <f>'9) Marketing'!S41</f>
        <v>0</v>
      </c>
      <c r="R35" s="5"/>
    </row>
    <row r="36" spans="1:18" x14ac:dyDescent="0.25">
      <c r="A36" s="5">
        <v>10</v>
      </c>
      <c r="B36" s="28" t="s">
        <v>88</v>
      </c>
      <c r="C36" s="28" t="s">
        <v>89</v>
      </c>
      <c r="D36" s="5"/>
      <c r="E36" s="28" t="s">
        <v>24</v>
      </c>
      <c r="F36" s="114">
        <f>'10) Int''l S&amp;M'!H41</f>
        <v>0</v>
      </c>
      <c r="G36" s="115">
        <f>'10) Int''l S&amp;M'!I41</f>
        <v>0</v>
      </c>
      <c r="H36" s="116">
        <f>'10) Int''l S&amp;M'!J41</f>
        <v>0</v>
      </c>
      <c r="I36" s="114">
        <f>'10) Int''l S&amp;M'!K41</f>
        <v>0</v>
      </c>
      <c r="J36" s="114">
        <f>'10) Int''l S&amp;M'!L41</f>
        <v>0</v>
      </c>
      <c r="K36" s="117">
        <f>'10) Int''l S&amp;M'!M41</f>
        <v>0</v>
      </c>
      <c r="L36" s="118">
        <f>'10) Int''l S&amp;M'!N41</f>
        <v>0</v>
      </c>
      <c r="M36" s="114">
        <f>'10) Int''l S&amp;M'!O41</f>
        <v>0</v>
      </c>
      <c r="N36" s="114">
        <f>'10) Int''l S&amp;M'!P41</f>
        <v>0</v>
      </c>
      <c r="O36" s="115">
        <f>'10) Int''l S&amp;M'!Q41</f>
        <v>0</v>
      </c>
      <c r="P36" s="116">
        <f>'10) Int''l S&amp;M'!R41</f>
        <v>0</v>
      </c>
      <c r="Q36" s="117">
        <f>'10) Int''l S&amp;M'!S41</f>
        <v>0</v>
      </c>
      <c r="R36" s="5"/>
    </row>
    <row r="37" spans="1:18" ht="30" x14ac:dyDescent="0.25">
      <c r="A37" s="5">
        <v>11</v>
      </c>
      <c r="B37" s="28" t="s">
        <v>90</v>
      </c>
      <c r="C37" s="28" t="s">
        <v>91</v>
      </c>
      <c r="D37" s="127" t="s">
        <v>117</v>
      </c>
      <c r="E37" s="28" t="s">
        <v>24</v>
      </c>
      <c r="F37" s="114">
        <f>'11) IT-Infrastructure'!H41</f>
        <v>0</v>
      </c>
      <c r="G37" s="115">
        <f>'11) IT-Infrastructure'!I41</f>
        <v>110000</v>
      </c>
      <c r="H37" s="116">
        <f>'11) IT-Infrastructure'!J41</f>
        <v>10000</v>
      </c>
      <c r="I37" s="114">
        <f>'11) IT-Infrastructure'!K41</f>
        <v>10000</v>
      </c>
      <c r="J37" s="114">
        <f>'11) IT-Infrastructure'!L41</f>
        <v>10000</v>
      </c>
      <c r="K37" s="117">
        <f>'11) IT-Infrastructure'!M41</f>
        <v>20000</v>
      </c>
      <c r="L37" s="118">
        <f>'11) IT-Infrastructure'!N41</f>
        <v>0</v>
      </c>
      <c r="M37" s="114">
        <f>'11) IT-Infrastructure'!O41</f>
        <v>0</v>
      </c>
      <c r="N37" s="114">
        <f>'11) IT-Infrastructure'!P41</f>
        <v>0</v>
      </c>
      <c r="O37" s="115">
        <f>'11) IT-Infrastructure'!Q41</f>
        <v>0</v>
      </c>
      <c r="P37" s="116">
        <f>'11) IT-Infrastructure'!R41</f>
        <v>0</v>
      </c>
      <c r="Q37" s="117">
        <f>'11) IT-Infrastructure'!S41</f>
        <v>0</v>
      </c>
      <c r="R37" s="5"/>
    </row>
    <row r="38" spans="1:18" x14ac:dyDescent="0.25">
      <c r="A38" s="5">
        <v>12</v>
      </c>
      <c r="B38" s="28" t="s">
        <v>93</v>
      </c>
      <c r="C38" s="28" t="s">
        <v>94</v>
      </c>
      <c r="D38" s="28" t="s">
        <v>92</v>
      </c>
      <c r="E38" s="28" t="s">
        <v>24</v>
      </c>
      <c r="F38" s="114">
        <f>'12) IT- Apps'!H41</f>
        <v>0</v>
      </c>
      <c r="G38" s="115">
        <f>'12) IT- Apps'!I41</f>
        <v>0</v>
      </c>
      <c r="H38" s="116">
        <f>'12) IT- Apps'!J41</f>
        <v>0</v>
      </c>
      <c r="I38" s="114">
        <f>'12) IT- Apps'!K41</f>
        <v>0</v>
      </c>
      <c r="J38" s="114">
        <f>'12) IT- Apps'!L41</f>
        <v>0</v>
      </c>
      <c r="K38" s="117">
        <f>'12) IT- Apps'!M41</f>
        <v>0</v>
      </c>
      <c r="L38" s="118">
        <f>'12) IT- Apps'!N41</f>
        <v>0</v>
      </c>
      <c r="M38" s="114">
        <f>'12) IT- Apps'!O41</f>
        <v>0</v>
      </c>
      <c r="N38" s="114">
        <f>'12) IT- Apps'!P41</f>
        <v>0</v>
      </c>
      <c r="O38" s="115">
        <f>'12) IT- Apps'!Q41</f>
        <v>0</v>
      </c>
      <c r="P38" s="116">
        <f>'12) IT- Apps'!R41</f>
        <v>0</v>
      </c>
      <c r="Q38" s="117">
        <f>'12) IT- Apps'!S41</f>
        <v>0</v>
      </c>
      <c r="R38" s="5"/>
    </row>
    <row r="39" spans="1:18" x14ac:dyDescent="0.25">
      <c r="A39" s="5">
        <v>13</v>
      </c>
      <c r="B39" s="28" t="s">
        <v>99</v>
      </c>
      <c r="C39" s="28" t="s">
        <v>101</v>
      </c>
      <c r="D39" s="28" t="s">
        <v>118</v>
      </c>
      <c r="E39" s="28" t="s">
        <v>24</v>
      </c>
      <c r="F39" s="114">
        <f>'13) IT- Security'!H41</f>
        <v>43750</v>
      </c>
      <c r="G39" s="115">
        <f>'13) IT- Security'!I41</f>
        <v>0</v>
      </c>
      <c r="H39" s="116">
        <f>'13) IT- Security'!J41</f>
        <v>0</v>
      </c>
      <c r="I39" s="114">
        <f>'13) IT- Security'!K41</f>
        <v>0</v>
      </c>
      <c r="J39" s="114">
        <f>'13) IT- Security'!L41</f>
        <v>0</v>
      </c>
      <c r="K39" s="117">
        <f>'13) IT- Security'!M41</f>
        <v>0</v>
      </c>
      <c r="L39" s="118">
        <f>'13) IT- Security'!N41</f>
        <v>0</v>
      </c>
      <c r="M39" s="114">
        <f>'13) IT- Security'!O41</f>
        <v>0</v>
      </c>
      <c r="N39" s="114">
        <f>'13) IT- Security'!P41</f>
        <v>0</v>
      </c>
      <c r="O39" s="115">
        <f>'13) IT- Security'!Q41</f>
        <v>0</v>
      </c>
      <c r="P39" s="116">
        <f>'13) IT- Security'!R41</f>
        <v>0</v>
      </c>
      <c r="Q39" s="117">
        <f>'13) IT- Security'!S41</f>
        <v>0</v>
      </c>
      <c r="R39" s="5"/>
    </row>
    <row r="40" spans="1:18" x14ac:dyDescent="0.25">
      <c r="A40" s="5">
        <v>14</v>
      </c>
      <c r="B40" s="28" t="s">
        <v>106</v>
      </c>
      <c r="C40" s="28" t="s">
        <v>107</v>
      </c>
      <c r="D40" s="5"/>
      <c r="E40" s="28" t="s">
        <v>24</v>
      </c>
      <c r="F40" s="128">
        <f>'14) Operations'!H41</f>
        <v>0</v>
      </c>
      <c r="G40" s="128">
        <f>'14) Operations'!I41</f>
        <v>16500</v>
      </c>
      <c r="H40" s="128">
        <f>'14) Operations'!J41</f>
        <v>16500</v>
      </c>
      <c r="I40" s="128">
        <f>'14) Operations'!K41</f>
        <v>16500</v>
      </c>
      <c r="J40" s="130">
        <f>'14) Operations'!L41</f>
        <v>16500</v>
      </c>
      <c r="K40" s="131">
        <f>'14) Operations'!M41</f>
        <v>0</v>
      </c>
      <c r="L40" s="132">
        <f>'14) Operations'!N41</f>
        <v>0</v>
      </c>
      <c r="M40" s="130">
        <f>'14) Operations'!O41</f>
        <v>0</v>
      </c>
      <c r="N40" s="130">
        <f>'14) Operations'!P41</f>
        <v>0</v>
      </c>
      <c r="O40" s="133">
        <f>'14) Operations'!Q41</f>
        <v>0</v>
      </c>
      <c r="P40" s="134">
        <f>'14) Operations'!R41</f>
        <v>0</v>
      </c>
      <c r="Q40" s="131">
        <f>'14) Operations'!S41</f>
        <v>0</v>
      </c>
      <c r="R40" s="5"/>
    </row>
    <row r="41" spans="1:18" x14ac:dyDescent="0.25">
      <c r="D41" s="135"/>
      <c r="E41" s="104"/>
      <c r="F41" s="136">
        <f t="shared" ref="F41:Q41" si="1">SUM(F27:F40)</f>
        <v>43750</v>
      </c>
      <c r="G41" s="137">
        <f t="shared" si="1"/>
        <v>220027.375</v>
      </c>
      <c r="H41" s="138">
        <f t="shared" si="1"/>
        <v>223103.375</v>
      </c>
      <c r="I41" s="136">
        <f t="shared" si="1"/>
        <v>235103.375</v>
      </c>
      <c r="J41" s="136">
        <f t="shared" si="1"/>
        <v>200390.375</v>
      </c>
      <c r="K41" s="136">
        <f t="shared" si="1"/>
        <v>181390.375</v>
      </c>
      <c r="L41" s="138">
        <f t="shared" si="1"/>
        <v>3500</v>
      </c>
      <c r="M41" s="136">
        <f t="shared" si="1"/>
        <v>15500</v>
      </c>
      <c r="N41" s="136">
        <f t="shared" si="1"/>
        <v>3500</v>
      </c>
      <c r="O41" s="136">
        <f t="shared" si="1"/>
        <v>3500</v>
      </c>
      <c r="P41" s="138">
        <f t="shared" si="1"/>
        <v>3500</v>
      </c>
      <c r="Q41" s="139">
        <f t="shared" si="1"/>
        <v>15500</v>
      </c>
      <c r="R41" s="104"/>
    </row>
    <row r="42" spans="1:18" x14ac:dyDescent="0.25">
      <c r="B42" s="140" t="s">
        <v>121</v>
      </c>
      <c r="I42" s="2"/>
    </row>
    <row r="43" spans="1:18" ht="18.75" x14ac:dyDescent="0.3">
      <c r="A43" s="141"/>
      <c r="B43" s="142" t="s">
        <v>122</v>
      </c>
      <c r="C43" s="141"/>
      <c r="D43" s="141"/>
      <c r="E43" s="141"/>
      <c r="F43" s="143">
        <f t="shared" ref="F43:Q43" si="2">F41+F22</f>
        <v>43750</v>
      </c>
      <c r="G43" s="143">
        <f t="shared" si="2"/>
        <v>220033.375</v>
      </c>
      <c r="H43" s="144">
        <f t="shared" si="2"/>
        <v>223115.375</v>
      </c>
      <c r="I43" s="143">
        <f t="shared" si="2"/>
        <v>235115.375</v>
      </c>
      <c r="J43" s="143">
        <f t="shared" si="2"/>
        <v>200404.375</v>
      </c>
      <c r="K43" s="145">
        <f t="shared" si="2"/>
        <v>181404.375</v>
      </c>
      <c r="L43" s="143">
        <f t="shared" si="2"/>
        <v>3514</v>
      </c>
      <c r="M43" s="143">
        <f t="shared" si="2"/>
        <v>15514</v>
      </c>
      <c r="N43" s="143">
        <f t="shared" si="2"/>
        <v>3514</v>
      </c>
      <c r="O43" s="145">
        <f t="shared" si="2"/>
        <v>3514</v>
      </c>
      <c r="P43" s="143">
        <f t="shared" si="2"/>
        <v>3514</v>
      </c>
      <c r="Q43" s="145">
        <f t="shared" si="2"/>
        <v>15514</v>
      </c>
    </row>
    <row r="44" spans="1:18" x14ac:dyDescent="0.25">
      <c r="I44" s="2"/>
    </row>
    <row r="45" spans="1:18" x14ac:dyDescent="0.25">
      <c r="I45" s="2"/>
    </row>
    <row r="46" spans="1:18" x14ac:dyDescent="0.25">
      <c r="I46" s="2"/>
    </row>
    <row r="47" spans="1:18" x14ac:dyDescent="0.25">
      <c r="I47" s="2"/>
    </row>
    <row r="48" spans="1:18" x14ac:dyDescent="0.25">
      <c r="I48" s="2"/>
    </row>
    <row r="49" spans="9:9" x14ac:dyDescent="0.25">
      <c r="I49" s="2"/>
    </row>
    <row r="50" spans="9:9" x14ac:dyDescent="0.25">
      <c r="I50" s="2"/>
    </row>
    <row r="51" spans="9:9" x14ac:dyDescent="0.25">
      <c r="I51" s="2"/>
    </row>
    <row r="52" spans="9:9" x14ac:dyDescent="0.25">
      <c r="I52" s="2"/>
    </row>
    <row r="53" spans="9:9" x14ac:dyDescent="0.25">
      <c r="I53" s="2"/>
    </row>
    <row r="54" spans="9:9" x14ac:dyDescent="0.25">
      <c r="I54" s="2"/>
    </row>
    <row r="55" spans="9:9" x14ac:dyDescent="0.25">
      <c r="I55" s="2"/>
    </row>
    <row r="56" spans="9:9" x14ac:dyDescent="0.25">
      <c r="I56" s="2"/>
    </row>
    <row r="57" spans="9:9" x14ac:dyDescent="0.25">
      <c r="I57" s="2"/>
    </row>
    <row r="58" spans="9:9" x14ac:dyDescent="0.25">
      <c r="I58" s="2"/>
    </row>
    <row r="59" spans="9:9" x14ac:dyDescent="0.25">
      <c r="I59" s="2"/>
    </row>
    <row r="60" spans="9:9" x14ac:dyDescent="0.25">
      <c r="I60" s="2"/>
    </row>
    <row r="61" spans="9:9" x14ac:dyDescent="0.25">
      <c r="I61" s="2"/>
    </row>
    <row r="62" spans="9:9" x14ac:dyDescent="0.25">
      <c r="I62" s="2"/>
    </row>
    <row r="63" spans="9:9" x14ac:dyDescent="0.25">
      <c r="I63" s="2"/>
    </row>
    <row r="64" spans="9:9" x14ac:dyDescent="0.25">
      <c r="I64" s="2"/>
    </row>
    <row r="65" spans="9:9" x14ac:dyDescent="0.25">
      <c r="I65" s="2"/>
    </row>
    <row r="66" spans="9:9" x14ac:dyDescent="0.25">
      <c r="I66" s="2"/>
    </row>
    <row r="67" spans="9:9" x14ac:dyDescent="0.25">
      <c r="I67" s="2"/>
    </row>
    <row r="68" spans="9:9" x14ac:dyDescent="0.25">
      <c r="I68" s="2"/>
    </row>
    <row r="69" spans="9:9" x14ac:dyDescent="0.25">
      <c r="I69" s="2"/>
    </row>
    <row r="70" spans="9:9" x14ac:dyDescent="0.25">
      <c r="I70" s="2"/>
    </row>
    <row r="71" spans="9:9" x14ac:dyDescent="0.25">
      <c r="I71" s="2"/>
    </row>
    <row r="72" spans="9:9" x14ac:dyDescent="0.25">
      <c r="I72" s="2"/>
    </row>
    <row r="73" spans="9:9" x14ac:dyDescent="0.25">
      <c r="I73" s="2"/>
    </row>
    <row r="74" spans="9:9" x14ac:dyDescent="0.25">
      <c r="I74" s="2"/>
    </row>
    <row r="75" spans="9:9" x14ac:dyDescent="0.25">
      <c r="I75" s="2"/>
    </row>
    <row r="76" spans="9:9" x14ac:dyDescent="0.25">
      <c r="I76" s="2"/>
    </row>
    <row r="77" spans="9:9" x14ac:dyDescent="0.25">
      <c r="I77" s="2"/>
    </row>
    <row r="78" spans="9:9" x14ac:dyDescent="0.25">
      <c r="I78" s="2"/>
    </row>
    <row r="79" spans="9:9" x14ac:dyDescent="0.25">
      <c r="I79" s="2"/>
    </row>
    <row r="80" spans="9:9" x14ac:dyDescent="0.25">
      <c r="I80" s="2"/>
    </row>
    <row r="81" spans="9:9" x14ac:dyDescent="0.25">
      <c r="I81" s="2"/>
    </row>
    <row r="82" spans="9:9" x14ac:dyDescent="0.25">
      <c r="I82" s="2"/>
    </row>
    <row r="83" spans="9:9" x14ac:dyDescent="0.25">
      <c r="I83" s="2"/>
    </row>
    <row r="84" spans="9:9" x14ac:dyDescent="0.25">
      <c r="I84" s="2"/>
    </row>
    <row r="85" spans="9:9" x14ac:dyDescent="0.25">
      <c r="I85" s="2"/>
    </row>
    <row r="86" spans="9:9" x14ac:dyDescent="0.25">
      <c r="I86" s="2"/>
    </row>
    <row r="87" spans="9:9" x14ac:dyDescent="0.25">
      <c r="I87" s="2"/>
    </row>
    <row r="88" spans="9:9" x14ac:dyDescent="0.25">
      <c r="I88" s="2"/>
    </row>
    <row r="89" spans="9:9" x14ac:dyDescent="0.25">
      <c r="I89" s="2"/>
    </row>
    <row r="90" spans="9:9" x14ac:dyDescent="0.25">
      <c r="I90" s="2"/>
    </row>
    <row r="91" spans="9:9" x14ac:dyDescent="0.25">
      <c r="I91" s="2"/>
    </row>
    <row r="92" spans="9:9" x14ac:dyDescent="0.25">
      <c r="I92" s="2"/>
    </row>
    <row r="93" spans="9:9" x14ac:dyDescent="0.25">
      <c r="I93" s="2"/>
    </row>
    <row r="94" spans="9:9" x14ac:dyDescent="0.25">
      <c r="I94" s="2"/>
    </row>
    <row r="95" spans="9:9" x14ac:dyDescent="0.25">
      <c r="I95" s="2"/>
    </row>
    <row r="96" spans="9:9" x14ac:dyDescent="0.25">
      <c r="I96" s="2"/>
    </row>
    <row r="97" spans="9:9" x14ac:dyDescent="0.25">
      <c r="I97" s="2"/>
    </row>
    <row r="98" spans="9:9" x14ac:dyDescent="0.25">
      <c r="I98" s="2"/>
    </row>
    <row r="99" spans="9:9" x14ac:dyDescent="0.25">
      <c r="I99" s="2"/>
    </row>
    <row r="100" spans="9:9" x14ac:dyDescent="0.25">
      <c r="I100" s="2"/>
    </row>
    <row r="101" spans="9:9" x14ac:dyDescent="0.25">
      <c r="I101" s="2"/>
    </row>
    <row r="102" spans="9:9" x14ac:dyDescent="0.25">
      <c r="I102" s="2"/>
    </row>
    <row r="103" spans="9:9" x14ac:dyDescent="0.25">
      <c r="I103" s="2"/>
    </row>
    <row r="104" spans="9:9" x14ac:dyDescent="0.25">
      <c r="I104" s="2"/>
    </row>
    <row r="105" spans="9:9" x14ac:dyDescent="0.25">
      <c r="I105" s="2"/>
    </row>
    <row r="106" spans="9:9" x14ac:dyDescent="0.25">
      <c r="I106" s="2"/>
    </row>
    <row r="107" spans="9:9" x14ac:dyDescent="0.25">
      <c r="I107" s="2"/>
    </row>
    <row r="108" spans="9:9" x14ac:dyDescent="0.25">
      <c r="I108" s="2"/>
    </row>
    <row r="109" spans="9:9" x14ac:dyDescent="0.25">
      <c r="I109" s="2"/>
    </row>
    <row r="110" spans="9:9" x14ac:dyDescent="0.25">
      <c r="I110" s="2"/>
    </row>
    <row r="111" spans="9:9" x14ac:dyDescent="0.25">
      <c r="I111" s="2"/>
    </row>
    <row r="112" spans="9:9" x14ac:dyDescent="0.25">
      <c r="I112" s="2"/>
    </row>
    <row r="113" spans="9:9" x14ac:dyDescent="0.25">
      <c r="I113" s="2"/>
    </row>
    <row r="114" spans="9:9" x14ac:dyDescent="0.25">
      <c r="I114" s="2"/>
    </row>
    <row r="115" spans="9:9" x14ac:dyDescent="0.25">
      <c r="I115" s="2"/>
    </row>
    <row r="116" spans="9:9" x14ac:dyDescent="0.25">
      <c r="I116" s="2"/>
    </row>
    <row r="117" spans="9:9" x14ac:dyDescent="0.25">
      <c r="I117" s="2"/>
    </row>
    <row r="118" spans="9:9" x14ac:dyDescent="0.25">
      <c r="I118" s="2"/>
    </row>
    <row r="119" spans="9:9" x14ac:dyDescent="0.25">
      <c r="I119" s="2"/>
    </row>
    <row r="120" spans="9:9" x14ac:dyDescent="0.25">
      <c r="I120" s="2"/>
    </row>
    <row r="121" spans="9:9" x14ac:dyDescent="0.25">
      <c r="I121" s="2"/>
    </row>
    <row r="122" spans="9:9" x14ac:dyDescent="0.25">
      <c r="I122" s="2"/>
    </row>
    <row r="123" spans="9:9" x14ac:dyDescent="0.25">
      <c r="I123" s="2"/>
    </row>
    <row r="124" spans="9:9" x14ac:dyDescent="0.25">
      <c r="I124" s="2"/>
    </row>
    <row r="125" spans="9:9" x14ac:dyDescent="0.25">
      <c r="I125" s="2"/>
    </row>
    <row r="126" spans="9:9" x14ac:dyDescent="0.25">
      <c r="I126" s="2"/>
    </row>
    <row r="127" spans="9:9" x14ac:dyDescent="0.25">
      <c r="I127" s="2"/>
    </row>
    <row r="128" spans="9:9" x14ac:dyDescent="0.25">
      <c r="I128" s="2"/>
    </row>
    <row r="129" spans="9:9" x14ac:dyDescent="0.25">
      <c r="I129" s="2"/>
    </row>
    <row r="130" spans="9:9" x14ac:dyDescent="0.25">
      <c r="I130" s="2"/>
    </row>
    <row r="131" spans="9:9" x14ac:dyDescent="0.25">
      <c r="I131" s="2"/>
    </row>
    <row r="132" spans="9:9" x14ac:dyDescent="0.25">
      <c r="I132" s="2"/>
    </row>
    <row r="133" spans="9:9" x14ac:dyDescent="0.25">
      <c r="I133" s="2"/>
    </row>
    <row r="134" spans="9:9" x14ac:dyDescent="0.25">
      <c r="I134" s="2"/>
    </row>
    <row r="135" spans="9:9" x14ac:dyDescent="0.25">
      <c r="I135" s="2"/>
    </row>
    <row r="136" spans="9:9" x14ac:dyDescent="0.25">
      <c r="I136" s="2"/>
    </row>
    <row r="137" spans="9:9" x14ac:dyDescent="0.25">
      <c r="I137" s="2"/>
    </row>
    <row r="138" spans="9:9" x14ac:dyDescent="0.25">
      <c r="I138" s="2"/>
    </row>
    <row r="139" spans="9:9" x14ac:dyDescent="0.25">
      <c r="I139" s="2"/>
    </row>
    <row r="140" spans="9:9" x14ac:dyDescent="0.25">
      <c r="I140" s="2"/>
    </row>
    <row r="141" spans="9:9" x14ac:dyDescent="0.25">
      <c r="I141" s="2"/>
    </row>
    <row r="142" spans="9:9" x14ac:dyDescent="0.25">
      <c r="I142" s="2"/>
    </row>
    <row r="143" spans="9:9" x14ac:dyDescent="0.25">
      <c r="I143" s="2"/>
    </row>
    <row r="144" spans="9:9" x14ac:dyDescent="0.25">
      <c r="I144" s="2"/>
    </row>
    <row r="145" spans="9:9" x14ac:dyDescent="0.25">
      <c r="I145" s="2"/>
    </row>
    <row r="146" spans="9:9" x14ac:dyDescent="0.25">
      <c r="I146" s="2"/>
    </row>
    <row r="147" spans="9:9" x14ac:dyDescent="0.25">
      <c r="I147" s="2"/>
    </row>
    <row r="148" spans="9:9" x14ac:dyDescent="0.25">
      <c r="I148" s="2"/>
    </row>
    <row r="149" spans="9:9" x14ac:dyDescent="0.25">
      <c r="I149" s="2"/>
    </row>
    <row r="150" spans="9:9" x14ac:dyDescent="0.25">
      <c r="I150" s="2"/>
    </row>
    <row r="151" spans="9:9" x14ac:dyDescent="0.25">
      <c r="I151" s="2"/>
    </row>
    <row r="152" spans="9:9" x14ac:dyDescent="0.25">
      <c r="I152" s="2"/>
    </row>
    <row r="153" spans="9:9" x14ac:dyDescent="0.25">
      <c r="I153" s="2"/>
    </row>
    <row r="154" spans="9:9" x14ac:dyDescent="0.25">
      <c r="I154" s="2"/>
    </row>
    <row r="155" spans="9:9" x14ac:dyDescent="0.25">
      <c r="I155" s="2"/>
    </row>
    <row r="156" spans="9:9" x14ac:dyDescent="0.25">
      <c r="I156" s="2"/>
    </row>
    <row r="157" spans="9:9" x14ac:dyDescent="0.25">
      <c r="I157" s="2"/>
    </row>
    <row r="158" spans="9:9" x14ac:dyDescent="0.25">
      <c r="I158" s="2"/>
    </row>
    <row r="159" spans="9:9" x14ac:dyDescent="0.25">
      <c r="I159" s="2"/>
    </row>
    <row r="160" spans="9:9" x14ac:dyDescent="0.25">
      <c r="I160" s="2"/>
    </row>
    <row r="161" spans="9:9" x14ac:dyDescent="0.25">
      <c r="I161" s="2"/>
    </row>
    <row r="162" spans="9:9" x14ac:dyDescent="0.25">
      <c r="I162" s="2"/>
    </row>
    <row r="163" spans="9:9" x14ac:dyDescent="0.25">
      <c r="I163" s="2"/>
    </row>
    <row r="164" spans="9:9" x14ac:dyDescent="0.25">
      <c r="I164" s="2"/>
    </row>
    <row r="165" spans="9:9" x14ac:dyDescent="0.25">
      <c r="I165" s="2"/>
    </row>
    <row r="166" spans="9:9" x14ac:dyDescent="0.25">
      <c r="I166" s="2"/>
    </row>
    <row r="167" spans="9:9" x14ac:dyDescent="0.25">
      <c r="I167" s="2"/>
    </row>
    <row r="168" spans="9:9" x14ac:dyDescent="0.25">
      <c r="I168" s="2"/>
    </row>
    <row r="169" spans="9:9" x14ac:dyDescent="0.25">
      <c r="I169" s="2"/>
    </row>
    <row r="170" spans="9:9" x14ac:dyDescent="0.25">
      <c r="I170" s="2"/>
    </row>
    <row r="171" spans="9:9" x14ac:dyDescent="0.25">
      <c r="I171" s="2"/>
    </row>
    <row r="172" spans="9:9" x14ac:dyDescent="0.25">
      <c r="I172" s="2"/>
    </row>
    <row r="173" spans="9:9" x14ac:dyDescent="0.25">
      <c r="I173" s="2"/>
    </row>
    <row r="174" spans="9:9" x14ac:dyDescent="0.25">
      <c r="I174" s="2"/>
    </row>
    <row r="175" spans="9:9" x14ac:dyDescent="0.25">
      <c r="I175" s="2"/>
    </row>
    <row r="176" spans="9:9" x14ac:dyDescent="0.25">
      <c r="I176" s="2"/>
    </row>
    <row r="177" spans="9:9" x14ac:dyDescent="0.25">
      <c r="I177" s="2"/>
    </row>
    <row r="178" spans="9:9" x14ac:dyDescent="0.25">
      <c r="I178" s="2"/>
    </row>
    <row r="179" spans="9:9" x14ac:dyDescent="0.25">
      <c r="I179" s="2"/>
    </row>
    <row r="180" spans="9:9" x14ac:dyDescent="0.25">
      <c r="I180" s="2"/>
    </row>
    <row r="181" spans="9:9" x14ac:dyDescent="0.25">
      <c r="I181" s="2"/>
    </row>
    <row r="182" spans="9:9" x14ac:dyDescent="0.25">
      <c r="I182" s="2"/>
    </row>
    <row r="183" spans="9:9" x14ac:dyDescent="0.25">
      <c r="I183" s="2"/>
    </row>
    <row r="184" spans="9:9" x14ac:dyDescent="0.25">
      <c r="I184" s="2"/>
    </row>
    <row r="185" spans="9:9" x14ac:dyDescent="0.25">
      <c r="I185" s="2"/>
    </row>
    <row r="186" spans="9:9" x14ac:dyDescent="0.25">
      <c r="I186" s="2"/>
    </row>
    <row r="187" spans="9:9" x14ac:dyDescent="0.25">
      <c r="I187" s="2"/>
    </row>
    <row r="188" spans="9:9" x14ac:dyDescent="0.25">
      <c r="I188" s="2"/>
    </row>
    <row r="189" spans="9:9" x14ac:dyDescent="0.25">
      <c r="I189" s="2"/>
    </row>
    <row r="190" spans="9:9" x14ac:dyDescent="0.25">
      <c r="I190" s="2"/>
    </row>
    <row r="191" spans="9:9" x14ac:dyDescent="0.25">
      <c r="I191" s="2"/>
    </row>
    <row r="192" spans="9:9" x14ac:dyDescent="0.25">
      <c r="I192" s="2"/>
    </row>
    <row r="193" spans="9:9" x14ac:dyDescent="0.25">
      <c r="I193" s="2"/>
    </row>
    <row r="194" spans="9:9" x14ac:dyDescent="0.25">
      <c r="I194" s="2"/>
    </row>
    <row r="195" spans="9:9" x14ac:dyDescent="0.25">
      <c r="I195" s="2"/>
    </row>
    <row r="196" spans="9:9" x14ac:dyDescent="0.25">
      <c r="I196" s="2"/>
    </row>
    <row r="197" spans="9:9" x14ac:dyDescent="0.25">
      <c r="I197" s="2"/>
    </row>
    <row r="198" spans="9:9" x14ac:dyDescent="0.25">
      <c r="I198" s="2"/>
    </row>
    <row r="199" spans="9:9" x14ac:dyDescent="0.25">
      <c r="I199" s="2"/>
    </row>
    <row r="200" spans="9:9" x14ac:dyDescent="0.25">
      <c r="I200" s="2"/>
    </row>
    <row r="201" spans="9:9" x14ac:dyDescent="0.25">
      <c r="I201" s="2"/>
    </row>
    <row r="202" spans="9:9" x14ac:dyDescent="0.25">
      <c r="I202" s="2"/>
    </row>
    <row r="203" spans="9:9" x14ac:dyDescent="0.25">
      <c r="I203" s="2"/>
    </row>
    <row r="204" spans="9:9" x14ac:dyDescent="0.25">
      <c r="I204" s="2"/>
    </row>
    <row r="205" spans="9:9" x14ac:dyDescent="0.25">
      <c r="I205" s="2"/>
    </row>
    <row r="206" spans="9:9" x14ac:dyDescent="0.25">
      <c r="I206" s="2"/>
    </row>
    <row r="207" spans="9:9" x14ac:dyDescent="0.25">
      <c r="I207" s="2"/>
    </row>
    <row r="208" spans="9:9" x14ac:dyDescent="0.25">
      <c r="I208" s="2"/>
    </row>
    <row r="209" spans="9:9" x14ac:dyDescent="0.25">
      <c r="I209" s="2"/>
    </row>
    <row r="210" spans="9:9" x14ac:dyDescent="0.25">
      <c r="I210" s="2"/>
    </row>
    <row r="211" spans="9:9" x14ac:dyDescent="0.25">
      <c r="I211" s="2"/>
    </row>
    <row r="212" spans="9:9" x14ac:dyDescent="0.25">
      <c r="I212" s="2"/>
    </row>
    <row r="213" spans="9:9" x14ac:dyDescent="0.25">
      <c r="I213" s="2"/>
    </row>
    <row r="214" spans="9:9" x14ac:dyDescent="0.25">
      <c r="I214" s="2"/>
    </row>
    <row r="215" spans="9:9" x14ac:dyDescent="0.25">
      <c r="I215" s="2"/>
    </row>
    <row r="216" spans="9:9" x14ac:dyDescent="0.25">
      <c r="I216" s="2"/>
    </row>
    <row r="217" spans="9:9" x14ac:dyDescent="0.25">
      <c r="I217" s="2"/>
    </row>
    <row r="218" spans="9:9" x14ac:dyDescent="0.25">
      <c r="I218" s="2"/>
    </row>
    <row r="219" spans="9:9" x14ac:dyDescent="0.25">
      <c r="I219" s="2"/>
    </row>
    <row r="220" spans="9:9" x14ac:dyDescent="0.25">
      <c r="I220" s="2"/>
    </row>
    <row r="221" spans="9:9" x14ac:dyDescent="0.25">
      <c r="I221" s="2"/>
    </row>
    <row r="222" spans="9:9" x14ac:dyDescent="0.25">
      <c r="I222" s="2"/>
    </row>
    <row r="223" spans="9:9" x14ac:dyDescent="0.25">
      <c r="I223" s="2"/>
    </row>
    <row r="224" spans="9:9" x14ac:dyDescent="0.25">
      <c r="I224" s="2"/>
    </row>
    <row r="225" spans="9:9" x14ac:dyDescent="0.25">
      <c r="I225" s="2"/>
    </row>
    <row r="226" spans="9:9" x14ac:dyDescent="0.25">
      <c r="I226" s="2"/>
    </row>
    <row r="227" spans="9:9" x14ac:dyDescent="0.25">
      <c r="I227" s="2"/>
    </row>
    <row r="228" spans="9:9" x14ac:dyDescent="0.25">
      <c r="I228" s="2"/>
    </row>
    <row r="229" spans="9:9" x14ac:dyDescent="0.25">
      <c r="I229" s="2"/>
    </row>
    <row r="230" spans="9:9" x14ac:dyDescent="0.25">
      <c r="I230" s="2"/>
    </row>
    <row r="231" spans="9:9" x14ac:dyDescent="0.25">
      <c r="I231" s="2"/>
    </row>
    <row r="232" spans="9:9" x14ac:dyDescent="0.25">
      <c r="I232" s="2"/>
    </row>
    <row r="233" spans="9:9" x14ac:dyDescent="0.25">
      <c r="I233" s="2"/>
    </row>
    <row r="234" spans="9:9" x14ac:dyDescent="0.25">
      <c r="I234" s="2"/>
    </row>
    <row r="235" spans="9:9" x14ac:dyDescent="0.25">
      <c r="I235" s="2"/>
    </row>
    <row r="236" spans="9:9" x14ac:dyDescent="0.25">
      <c r="I236" s="2"/>
    </row>
    <row r="237" spans="9:9" x14ac:dyDescent="0.25">
      <c r="I237" s="2"/>
    </row>
    <row r="238" spans="9:9" x14ac:dyDescent="0.25">
      <c r="I238" s="2"/>
    </row>
    <row r="239" spans="9:9" x14ac:dyDescent="0.25">
      <c r="I239" s="2"/>
    </row>
    <row r="240" spans="9:9" x14ac:dyDescent="0.25">
      <c r="I240" s="2"/>
    </row>
    <row r="241" spans="9:9" x14ac:dyDescent="0.25">
      <c r="I241" s="2"/>
    </row>
    <row r="242" spans="9:9" x14ac:dyDescent="0.25">
      <c r="I242" s="2"/>
    </row>
    <row r="243" spans="9:9" x14ac:dyDescent="0.25">
      <c r="I243" s="2"/>
    </row>
    <row r="244" spans="9:9" x14ac:dyDescent="0.25">
      <c r="I244" s="2"/>
    </row>
    <row r="245" spans="9:9" x14ac:dyDescent="0.25">
      <c r="I245" s="2"/>
    </row>
    <row r="246" spans="9:9" x14ac:dyDescent="0.25">
      <c r="I246" s="2"/>
    </row>
    <row r="247" spans="9:9" x14ac:dyDescent="0.25">
      <c r="I247" s="2"/>
    </row>
    <row r="248" spans="9:9" x14ac:dyDescent="0.25">
      <c r="I248" s="2"/>
    </row>
    <row r="249" spans="9:9" x14ac:dyDescent="0.25">
      <c r="I249" s="2"/>
    </row>
    <row r="250" spans="9:9" x14ac:dyDescent="0.25">
      <c r="I250" s="2"/>
    </row>
    <row r="251" spans="9:9" x14ac:dyDescent="0.25">
      <c r="I251" s="2"/>
    </row>
    <row r="252" spans="9:9" x14ac:dyDescent="0.25">
      <c r="I252" s="2"/>
    </row>
    <row r="253" spans="9:9" x14ac:dyDescent="0.25">
      <c r="I253" s="2"/>
    </row>
    <row r="254" spans="9:9" x14ac:dyDescent="0.25">
      <c r="I254" s="2"/>
    </row>
    <row r="255" spans="9:9" x14ac:dyDescent="0.25">
      <c r="I255" s="2"/>
    </row>
    <row r="256" spans="9:9" x14ac:dyDescent="0.25">
      <c r="I256" s="2"/>
    </row>
    <row r="257" spans="9:9" x14ac:dyDescent="0.25">
      <c r="I257" s="2"/>
    </row>
    <row r="258" spans="9:9" x14ac:dyDescent="0.25">
      <c r="I258" s="2"/>
    </row>
    <row r="259" spans="9:9" x14ac:dyDescent="0.25">
      <c r="I259" s="2"/>
    </row>
    <row r="260" spans="9:9" x14ac:dyDescent="0.25">
      <c r="I260" s="2"/>
    </row>
    <row r="261" spans="9:9" x14ac:dyDescent="0.25">
      <c r="I261" s="2"/>
    </row>
    <row r="262" spans="9:9" x14ac:dyDescent="0.25">
      <c r="I262" s="2"/>
    </row>
    <row r="263" spans="9:9" x14ac:dyDescent="0.25">
      <c r="I263" s="2"/>
    </row>
    <row r="264" spans="9:9" x14ac:dyDescent="0.25">
      <c r="I264" s="2"/>
    </row>
    <row r="265" spans="9:9" x14ac:dyDescent="0.25">
      <c r="I265" s="2"/>
    </row>
    <row r="266" spans="9:9" x14ac:dyDescent="0.25">
      <c r="I266" s="2"/>
    </row>
    <row r="267" spans="9:9" x14ac:dyDescent="0.25">
      <c r="I267" s="2"/>
    </row>
    <row r="268" spans="9:9" x14ac:dyDescent="0.25">
      <c r="I268" s="2"/>
    </row>
    <row r="269" spans="9:9" x14ac:dyDescent="0.25">
      <c r="I269" s="2"/>
    </row>
    <row r="270" spans="9:9" x14ac:dyDescent="0.25">
      <c r="I270" s="2"/>
    </row>
    <row r="271" spans="9:9" x14ac:dyDescent="0.25">
      <c r="I271" s="2"/>
    </row>
    <row r="272" spans="9:9" x14ac:dyDescent="0.25">
      <c r="I272" s="2"/>
    </row>
    <row r="273" spans="9:9" x14ac:dyDescent="0.25">
      <c r="I273" s="2"/>
    </row>
    <row r="274" spans="9:9" x14ac:dyDescent="0.25">
      <c r="I274" s="2"/>
    </row>
    <row r="275" spans="9:9" x14ac:dyDescent="0.25">
      <c r="I275" s="2"/>
    </row>
    <row r="276" spans="9:9" x14ac:dyDescent="0.25">
      <c r="I276" s="2"/>
    </row>
    <row r="277" spans="9:9" x14ac:dyDescent="0.25">
      <c r="I277" s="2"/>
    </row>
    <row r="278" spans="9:9" x14ac:dyDescent="0.25">
      <c r="I278" s="2"/>
    </row>
    <row r="279" spans="9:9" x14ac:dyDescent="0.25">
      <c r="I279" s="2"/>
    </row>
    <row r="280" spans="9:9" x14ac:dyDescent="0.25">
      <c r="I280" s="2"/>
    </row>
    <row r="281" spans="9:9" x14ac:dyDescent="0.25">
      <c r="I281" s="2"/>
    </row>
    <row r="282" spans="9:9" x14ac:dyDescent="0.25">
      <c r="I282" s="2"/>
    </row>
    <row r="283" spans="9:9" x14ac:dyDescent="0.25">
      <c r="I283" s="2"/>
    </row>
    <row r="284" spans="9:9" x14ac:dyDescent="0.25">
      <c r="I284" s="2"/>
    </row>
    <row r="285" spans="9:9" x14ac:dyDescent="0.25">
      <c r="I285" s="2"/>
    </row>
    <row r="286" spans="9:9" x14ac:dyDescent="0.25">
      <c r="I286" s="2"/>
    </row>
    <row r="287" spans="9:9" x14ac:dyDescent="0.25">
      <c r="I287" s="2"/>
    </row>
    <row r="288" spans="9:9" x14ac:dyDescent="0.25">
      <c r="I288" s="2"/>
    </row>
    <row r="289" spans="9:9" x14ac:dyDescent="0.25">
      <c r="I289" s="2"/>
    </row>
    <row r="290" spans="9:9" x14ac:dyDescent="0.25">
      <c r="I290" s="2"/>
    </row>
    <row r="291" spans="9:9" x14ac:dyDescent="0.25">
      <c r="I291" s="2"/>
    </row>
    <row r="292" spans="9:9" x14ac:dyDescent="0.25">
      <c r="I292" s="2"/>
    </row>
    <row r="293" spans="9:9" x14ac:dyDescent="0.25">
      <c r="I293" s="2"/>
    </row>
    <row r="294" spans="9:9" x14ac:dyDescent="0.25">
      <c r="I294" s="2"/>
    </row>
    <row r="295" spans="9:9" x14ac:dyDescent="0.25">
      <c r="I295" s="2"/>
    </row>
    <row r="296" spans="9:9" x14ac:dyDescent="0.25">
      <c r="I296" s="2"/>
    </row>
    <row r="297" spans="9:9" x14ac:dyDescent="0.25">
      <c r="I297" s="2"/>
    </row>
    <row r="298" spans="9:9" x14ac:dyDescent="0.25">
      <c r="I298" s="2"/>
    </row>
    <row r="299" spans="9:9" x14ac:dyDescent="0.25">
      <c r="I299" s="2"/>
    </row>
    <row r="300" spans="9:9" x14ac:dyDescent="0.25">
      <c r="I300" s="2"/>
    </row>
    <row r="301" spans="9:9" x14ac:dyDescent="0.25">
      <c r="I301" s="2"/>
    </row>
    <row r="302" spans="9:9" x14ac:dyDescent="0.25">
      <c r="I302" s="2"/>
    </row>
    <row r="303" spans="9:9" x14ac:dyDescent="0.25">
      <c r="I303" s="2"/>
    </row>
    <row r="304" spans="9:9" x14ac:dyDescent="0.25">
      <c r="I304" s="2"/>
    </row>
    <row r="305" spans="9:9" x14ac:dyDescent="0.25">
      <c r="I305" s="2"/>
    </row>
    <row r="306" spans="9:9" x14ac:dyDescent="0.25">
      <c r="I306" s="2"/>
    </row>
    <row r="307" spans="9:9" x14ac:dyDescent="0.25">
      <c r="I307" s="2"/>
    </row>
    <row r="308" spans="9:9" x14ac:dyDescent="0.25">
      <c r="I308" s="2"/>
    </row>
    <row r="309" spans="9:9" x14ac:dyDescent="0.25">
      <c r="I309" s="2"/>
    </row>
    <row r="310" spans="9:9" x14ac:dyDescent="0.25">
      <c r="I310" s="2"/>
    </row>
    <row r="311" spans="9:9" x14ac:dyDescent="0.25">
      <c r="I311" s="2"/>
    </row>
    <row r="312" spans="9:9" x14ac:dyDescent="0.25">
      <c r="I312" s="2"/>
    </row>
    <row r="313" spans="9:9" x14ac:dyDescent="0.25">
      <c r="I313" s="2"/>
    </row>
    <row r="314" spans="9:9" x14ac:dyDescent="0.25">
      <c r="I314" s="2"/>
    </row>
    <row r="315" spans="9:9" x14ac:dyDescent="0.25">
      <c r="I315" s="2"/>
    </row>
    <row r="316" spans="9:9" x14ac:dyDescent="0.25">
      <c r="I316" s="2"/>
    </row>
    <row r="317" spans="9:9" x14ac:dyDescent="0.25">
      <c r="I317" s="2"/>
    </row>
    <row r="318" spans="9:9" x14ac:dyDescent="0.25">
      <c r="I318" s="2"/>
    </row>
    <row r="319" spans="9:9" x14ac:dyDescent="0.25">
      <c r="I319" s="2"/>
    </row>
    <row r="320" spans="9:9" x14ac:dyDescent="0.25">
      <c r="I320" s="2"/>
    </row>
    <row r="321" spans="9:9" x14ac:dyDescent="0.25">
      <c r="I321" s="2"/>
    </row>
    <row r="322" spans="9:9" x14ac:dyDescent="0.25">
      <c r="I322" s="2"/>
    </row>
    <row r="323" spans="9:9" x14ac:dyDescent="0.25">
      <c r="I323" s="2"/>
    </row>
    <row r="324" spans="9:9" x14ac:dyDescent="0.25">
      <c r="I324" s="2"/>
    </row>
    <row r="325" spans="9:9" x14ac:dyDescent="0.25">
      <c r="I325" s="2"/>
    </row>
    <row r="326" spans="9:9" x14ac:dyDescent="0.25">
      <c r="I326" s="2"/>
    </row>
    <row r="327" spans="9:9" x14ac:dyDescent="0.25">
      <c r="I327" s="2"/>
    </row>
    <row r="328" spans="9:9" x14ac:dyDescent="0.25">
      <c r="I328" s="2"/>
    </row>
    <row r="329" spans="9:9" x14ac:dyDescent="0.25">
      <c r="I329" s="2"/>
    </row>
    <row r="330" spans="9:9" x14ac:dyDescent="0.25">
      <c r="I330" s="2"/>
    </row>
    <row r="331" spans="9:9" x14ac:dyDescent="0.25">
      <c r="I331" s="2"/>
    </row>
    <row r="332" spans="9:9" x14ac:dyDescent="0.25">
      <c r="I332" s="2"/>
    </row>
    <row r="333" spans="9:9" x14ac:dyDescent="0.25">
      <c r="I333" s="2"/>
    </row>
    <row r="334" spans="9:9" x14ac:dyDescent="0.25">
      <c r="I334" s="2"/>
    </row>
    <row r="335" spans="9:9" x14ac:dyDescent="0.25">
      <c r="I335" s="2"/>
    </row>
    <row r="336" spans="9:9" x14ac:dyDescent="0.25">
      <c r="I336" s="2"/>
    </row>
    <row r="337" spans="9:9" x14ac:dyDescent="0.25">
      <c r="I337" s="2"/>
    </row>
    <row r="338" spans="9:9" x14ac:dyDescent="0.25">
      <c r="I338" s="2"/>
    </row>
    <row r="339" spans="9:9" x14ac:dyDescent="0.25">
      <c r="I339" s="2"/>
    </row>
    <row r="340" spans="9:9" x14ac:dyDescent="0.25">
      <c r="I340" s="2"/>
    </row>
    <row r="341" spans="9:9" x14ac:dyDescent="0.25">
      <c r="I341" s="2"/>
    </row>
    <row r="342" spans="9:9" x14ac:dyDescent="0.25">
      <c r="I342" s="2"/>
    </row>
    <row r="343" spans="9:9" x14ac:dyDescent="0.25">
      <c r="I343" s="2"/>
    </row>
    <row r="344" spans="9:9" x14ac:dyDescent="0.25">
      <c r="I344" s="2"/>
    </row>
    <row r="345" spans="9:9" x14ac:dyDescent="0.25">
      <c r="I345" s="2"/>
    </row>
    <row r="346" spans="9:9" x14ac:dyDescent="0.25">
      <c r="I346" s="2"/>
    </row>
    <row r="347" spans="9:9" x14ac:dyDescent="0.25">
      <c r="I347" s="2"/>
    </row>
    <row r="348" spans="9:9" x14ac:dyDescent="0.25">
      <c r="I348" s="2"/>
    </row>
    <row r="349" spans="9:9" x14ac:dyDescent="0.25">
      <c r="I349" s="2"/>
    </row>
    <row r="350" spans="9:9" x14ac:dyDescent="0.25">
      <c r="I350" s="2"/>
    </row>
    <row r="351" spans="9:9" x14ac:dyDescent="0.25">
      <c r="I351" s="2"/>
    </row>
    <row r="352" spans="9:9" x14ac:dyDescent="0.25">
      <c r="I352" s="2"/>
    </row>
    <row r="353" spans="9:9" x14ac:dyDescent="0.25">
      <c r="I353" s="2"/>
    </row>
    <row r="354" spans="9:9" x14ac:dyDescent="0.25">
      <c r="I354" s="2"/>
    </row>
    <row r="355" spans="9:9" x14ac:dyDescent="0.25">
      <c r="I355" s="2"/>
    </row>
    <row r="356" spans="9:9" x14ac:dyDescent="0.25">
      <c r="I356" s="2"/>
    </row>
    <row r="357" spans="9:9" x14ac:dyDescent="0.25">
      <c r="I357" s="2"/>
    </row>
    <row r="358" spans="9:9" x14ac:dyDescent="0.25">
      <c r="I358" s="2"/>
    </row>
    <row r="359" spans="9:9" x14ac:dyDescent="0.25">
      <c r="I359" s="2"/>
    </row>
    <row r="360" spans="9:9" x14ac:dyDescent="0.25">
      <c r="I360" s="2"/>
    </row>
    <row r="361" spans="9:9" x14ac:dyDescent="0.25">
      <c r="I361" s="2"/>
    </row>
    <row r="362" spans="9:9" x14ac:dyDescent="0.25">
      <c r="I362" s="2"/>
    </row>
    <row r="363" spans="9:9" x14ac:dyDescent="0.25">
      <c r="I363" s="2"/>
    </row>
    <row r="364" spans="9:9" x14ac:dyDescent="0.25">
      <c r="I364" s="2"/>
    </row>
    <row r="365" spans="9:9" x14ac:dyDescent="0.25">
      <c r="I365" s="2"/>
    </row>
    <row r="366" spans="9:9" x14ac:dyDescent="0.25">
      <c r="I366" s="2"/>
    </row>
    <row r="367" spans="9:9" x14ac:dyDescent="0.25">
      <c r="I367" s="2"/>
    </row>
    <row r="368" spans="9:9" x14ac:dyDescent="0.25">
      <c r="I368" s="2"/>
    </row>
    <row r="369" spans="9:9" x14ac:dyDescent="0.25">
      <c r="I369" s="2"/>
    </row>
    <row r="370" spans="9:9" x14ac:dyDescent="0.25">
      <c r="I370" s="2"/>
    </row>
    <row r="371" spans="9:9" x14ac:dyDescent="0.25">
      <c r="I371" s="2"/>
    </row>
    <row r="372" spans="9:9" x14ac:dyDescent="0.25">
      <c r="I372" s="2"/>
    </row>
    <row r="373" spans="9:9" x14ac:dyDescent="0.25">
      <c r="I373" s="2"/>
    </row>
    <row r="374" spans="9:9" x14ac:dyDescent="0.25">
      <c r="I374" s="2"/>
    </row>
    <row r="375" spans="9:9" x14ac:dyDescent="0.25">
      <c r="I375" s="2"/>
    </row>
    <row r="376" spans="9:9" x14ac:dyDescent="0.25">
      <c r="I376" s="2"/>
    </row>
    <row r="377" spans="9:9" x14ac:dyDescent="0.25">
      <c r="I377" s="2"/>
    </row>
    <row r="378" spans="9:9" x14ac:dyDescent="0.25">
      <c r="I378" s="2"/>
    </row>
    <row r="379" spans="9:9" x14ac:dyDescent="0.25">
      <c r="I379" s="2"/>
    </row>
    <row r="380" spans="9:9" x14ac:dyDescent="0.25">
      <c r="I380" s="2"/>
    </row>
    <row r="381" spans="9:9" x14ac:dyDescent="0.25">
      <c r="I381" s="2"/>
    </row>
    <row r="382" spans="9:9" x14ac:dyDescent="0.25">
      <c r="I382" s="2"/>
    </row>
    <row r="383" spans="9:9" x14ac:dyDescent="0.25">
      <c r="I383" s="2"/>
    </row>
    <row r="384" spans="9:9" x14ac:dyDescent="0.25">
      <c r="I384" s="2"/>
    </row>
    <row r="385" spans="9:9" x14ac:dyDescent="0.25">
      <c r="I385" s="2"/>
    </row>
    <row r="386" spans="9:9" x14ac:dyDescent="0.25">
      <c r="I386" s="2"/>
    </row>
    <row r="387" spans="9:9" x14ac:dyDescent="0.25">
      <c r="I387" s="2"/>
    </row>
    <row r="388" spans="9:9" x14ac:dyDescent="0.25">
      <c r="I388" s="2"/>
    </row>
    <row r="389" spans="9:9" x14ac:dyDescent="0.25">
      <c r="I389" s="2"/>
    </row>
    <row r="390" spans="9:9" x14ac:dyDescent="0.25">
      <c r="I390" s="2"/>
    </row>
    <row r="391" spans="9:9" x14ac:dyDescent="0.25">
      <c r="I391" s="2"/>
    </row>
    <row r="392" spans="9:9" x14ac:dyDescent="0.25">
      <c r="I392" s="2"/>
    </row>
    <row r="393" spans="9:9" x14ac:dyDescent="0.25">
      <c r="I393" s="2"/>
    </row>
    <row r="394" spans="9:9" x14ac:dyDescent="0.25">
      <c r="I394" s="2"/>
    </row>
    <row r="395" spans="9:9" x14ac:dyDescent="0.25">
      <c r="I395" s="2"/>
    </row>
    <row r="396" spans="9:9" x14ac:dyDescent="0.25">
      <c r="I396" s="2"/>
    </row>
    <row r="397" spans="9:9" x14ac:dyDescent="0.25">
      <c r="I397" s="2"/>
    </row>
    <row r="398" spans="9:9" x14ac:dyDescent="0.25">
      <c r="I398" s="2"/>
    </row>
    <row r="399" spans="9:9" x14ac:dyDescent="0.25">
      <c r="I399" s="2"/>
    </row>
    <row r="400" spans="9:9" x14ac:dyDescent="0.25">
      <c r="I400" s="2"/>
    </row>
    <row r="401" spans="9:9" x14ac:dyDescent="0.25">
      <c r="I401" s="2"/>
    </row>
    <row r="402" spans="9:9" x14ac:dyDescent="0.25">
      <c r="I402" s="2"/>
    </row>
    <row r="403" spans="9:9" x14ac:dyDescent="0.25">
      <c r="I403" s="2"/>
    </row>
    <row r="404" spans="9:9" x14ac:dyDescent="0.25">
      <c r="I404" s="2"/>
    </row>
    <row r="405" spans="9:9" x14ac:dyDescent="0.25">
      <c r="I405" s="2"/>
    </row>
    <row r="406" spans="9:9" x14ac:dyDescent="0.25">
      <c r="I406" s="2"/>
    </row>
    <row r="407" spans="9:9" x14ac:dyDescent="0.25">
      <c r="I407" s="2"/>
    </row>
    <row r="408" spans="9:9" x14ac:dyDescent="0.25">
      <c r="I408" s="2"/>
    </row>
    <row r="409" spans="9:9" x14ac:dyDescent="0.25">
      <c r="I409" s="2"/>
    </row>
    <row r="410" spans="9:9" x14ac:dyDescent="0.25">
      <c r="I410" s="2"/>
    </row>
    <row r="411" spans="9:9" x14ac:dyDescent="0.25">
      <c r="I411" s="2"/>
    </row>
    <row r="412" spans="9:9" x14ac:dyDescent="0.25">
      <c r="I412" s="2"/>
    </row>
    <row r="413" spans="9:9" x14ac:dyDescent="0.25">
      <c r="I413" s="2"/>
    </row>
    <row r="414" spans="9:9" x14ac:dyDescent="0.25">
      <c r="I414" s="2"/>
    </row>
    <row r="415" spans="9:9" x14ac:dyDescent="0.25">
      <c r="I415" s="2"/>
    </row>
    <row r="416" spans="9:9" x14ac:dyDescent="0.25">
      <c r="I416" s="2"/>
    </row>
    <row r="417" spans="9:9" x14ac:dyDescent="0.25">
      <c r="I417" s="2"/>
    </row>
    <row r="418" spans="9:9" x14ac:dyDescent="0.25">
      <c r="I418" s="2"/>
    </row>
    <row r="419" spans="9:9" x14ac:dyDescent="0.25">
      <c r="I419" s="2"/>
    </row>
    <row r="420" spans="9:9" x14ac:dyDescent="0.25">
      <c r="I420" s="2"/>
    </row>
    <row r="421" spans="9:9" x14ac:dyDescent="0.25">
      <c r="I421" s="2"/>
    </row>
    <row r="422" spans="9:9" x14ac:dyDescent="0.25">
      <c r="I422" s="2"/>
    </row>
    <row r="423" spans="9:9" x14ac:dyDescent="0.25">
      <c r="I423" s="2"/>
    </row>
    <row r="424" spans="9:9" x14ac:dyDescent="0.25">
      <c r="I424" s="2"/>
    </row>
    <row r="425" spans="9:9" x14ac:dyDescent="0.25">
      <c r="I425" s="2"/>
    </row>
    <row r="426" spans="9:9" x14ac:dyDescent="0.25">
      <c r="I426" s="2"/>
    </row>
    <row r="427" spans="9:9" x14ac:dyDescent="0.25">
      <c r="I427" s="2"/>
    </row>
    <row r="428" spans="9:9" x14ac:dyDescent="0.25">
      <c r="I428" s="2"/>
    </row>
    <row r="429" spans="9:9" x14ac:dyDescent="0.25">
      <c r="I429" s="2"/>
    </row>
    <row r="430" spans="9:9" x14ac:dyDescent="0.25">
      <c r="I430" s="2"/>
    </row>
    <row r="431" spans="9:9" x14ac:dyDescent="0.25">
      <c r="I431" s="2"/>
    </row>
    <row r="432" spans="9:9" x14ac:dyDescent="0.25">
      <c r="I432" s="2"/>
    </row>
    <row r="433" spans="9:9" x14ac:dyDescent="0.25">
      <c r="I433" s="2"/>
    </row>
    <row r="434" spans="9:9" x14ac:dyDescent="0.25">
      <c r="I434" s="2"/>
    </row>
    <row r="435" spans="9:9" x14ac:dyDescent="0.25">
      <c r="I435" s="2"/>
    </row>
    <row r="436" spans="9:9" x14ac:dyDescent="0.25">
      <c r="I436" s="2"/>
    </row>
    <row r="437" spans="9:9" x14ac:dyDescent="0.25">
      <c r="I437" s="2"/>
    </row>
    <row r="438" spans="9:9" x14ac:dyDescent="0.25">
      <c r="I438" s="2"/>
    </row>
    <row r="439" spans="9:9" x14ac:dyDescent="0.25">
      <c r="I439" s="2"/>
    </row>
    <row r="440" spans="9:9" x14ac:dyDescent="0.25">
      <c r="I440" s="2"/>
    </row>
    <row r="441" spans="9:9" x14ac:dyDescent="0.25">
      <c r="I441" s="2"/>
    </row>
    <row r="442" spans="9:9" x14ac:dyDescent="0.25">
      <c r="I442" s="2"/>
    </row>
    <row r="443" spans="9:9" x14ac:dyDescent="0.25">
      <c r="I443" s="2"/>
    </row>
    <row r="444" spans="9:9" x14ac:dyDescent="0.25">
      <c r="I444" s="2"/>
    </row>
    <row r="445" spans="9:9" x14ac:dyDescent="0.25">
      <c r="I445" s="2"/>
    </row>
    <row r="446" spans="9:9" x14ac:dyDescent="0.25">
      <c r="I446" s="2"/>
    </row>
    <row r="447" spans="9:9" x14ac:dyDescent="0.25">
      <c r="I447" s="2"/>
    </row>
    <row r="448" spans="9:9" x14ac:dyDescent="0.25">
      <c r="I448" s="2"/>
    </row>
    <row r="449" spans="9:9" x14ac:dyDescent="0.25">
      <c r="I449" s="2"/>
    </row>
    <row r="450" spans="9:9" x14ac:dyDescent="0.25">
      <c r="I450" s="2"/>
    </row>
    <row r="451" spans="9:9" x14ac:dyDescent="0.25">
      <c r="I451" s="2"/>
    </row>
    <row r="452" spans="9:9" x14ac:dyDescent="0.25">
      <c r="I452" s="2"/>
    </row>
    <row r="453" spans="9:9" x14ac:dyDescent="0.25">
      <c r="I453" s="2"/>
    </row>
    <row r="454" spans="9:9" x14ac:dyDescent="0.25">
      <c r="I454" s="2"/>
    </row>
    <row r="455" spans="9:9" x14ac:dyDescent="0.25">
      <c r="I455" s="2"/>
    </row>
    <row r="456" spans="9:9" x14ac:dyDescent="0.25">
      <c r="I456" s="2"/>
    </row>
    <row r="457" spans="9:9" x14ac:dyDescent="0.25">
      <c r="I457" s="2"/>
    </row>
    <row r="458" spans="9:9" x14ac:dyDescent="0.25">
      <c r="I458" s="2"/>
    </row>
    <row r="459" spans="9:9" x14ac:dyDescent="0.25">
      <c r="I459" s="2"/>
    </row>
    <row r="460" spans="9:9" x14ac:dyDescent="0.25">
      <c r="I460" s="2"/>
    </row>
    <row r="461" spans="9:9" x14ac:dyDescent="0.25">
      <c r="I461" s="2"/>
    </row>
    <row r="462" spans="9:9" x14ac:dyDescent="0.25">
      <c r="I462" s="2"/>
    </row>
    <row r="463" spans="9:9" x14ac:dyDescent="0.25">
      <c r="I463" s="2"/>
    </row>
    <row r="464" spans="9:9" x14ac:dyDescent="0.25">
      <c r="I464" s="2"/>
    </row>
    <row r="465" spans="9:9" x14ac:dyDescent="0.25">
      <c r="I465" s="2"/>
    </row>
    <row r="466" spans="9:9" x14ac:dyDescent="0.25">
      <c r="I466" s="2"/>
    </row>
    <row r="467" spans="9:9" x14ac:dyDescent="0.25">
      <c r="I467" s="2"/>
    </row>
    <row r="468" spans="9:9" x14ac:dyDescent="0.25">
      <c r="I468" s="2"/>
    </row>
    <row r="469" spans="9:9" x14ac:dyDescent="0.25">
      <c r="I469" s="2"/>
    </row>
    <row r="470" spans="9:9" x14ac:dyDescent="0.25">
      <c r="I470" s="2"/>
    </row>
    <row r="471" spans="9:9" x14ac:dyDescent="0.25">
      <c r="I471" s="2"/>
    </row>
    <row r="472" spans="9:9" x14ac:dyDescent="0.25">
      <c r="I472" s="2"/>
    </row>
    <row r="473" spans="9:9" x14ac:dyDescent="0.25">
      <c r="I473" s="2"/>
    </row>
    <row r="474" spans="9:9" x14ac:dyDescent="0.25">
      <c r="I474" s="2"/>
    </row>
    <row r="475" spans="9:9" x14ac:dyDescent="0.25">
      <c r="I475" s="2"/>
    </row>
    <row r="476" spans="9:9" x14ac:dyDescent="0.25">
      <c r="I476" s="2"/>
    </row>
    <row r="477" spans="9:9" x14ac:dyDescent="0.25">
      <c r="I477" s="2"/>
    </row>
    <row r="478" spans="9:9" x14ac:dyDescent="0.25">
      <c r="I478" s="2"/>
    </row>
    <row r="479" spans="9:9" x14ac:dyDescent="0.25">
      <c r="I479" s="2"/>
    </row>
    <row r="480" spans="9:9" x14ac:dyDescent="0.25">
      <c r="I480" s="2"/>
    </row>
    <row r="481" spans="9:9" x14ac:dyDescent="0.25">
      <c r="I481" s="2"/>
    </row>
    <row r="482" spans="9:9" x14ac:dyDescent="0.25">
      <c r="I482" s="2"/>
    </row>
    <row r="483" spans="9:9" x14ac:dyDescent="0.25">
      <c r="I483" s="2"/>
    </row>
    <row r="484" spans="9:9" x14ac:dyDescent="0.25">
      <c r="I484" s="2"/>
    </row>
    <row r="485" spans="9:9" x14ac:dyDescent="0.25">
      <c r="I485" s="2"/>
    </row>
    <row r="486" spans="9:9" x14ac:dyDescent="0.25">
      <c r="I486" s="2"/>
    </row>
    <row r="487" spans="9:9" x14ac:dyDescent="0.25">
      <c r="I487" s="2"/>
    </row>
    <row r="488" spans="9:9" x14ac:dyDescent="0.25">
      <c r="I488" s="2"/>
    </row>
    <row r="489" spans="9:9" x14ac:dyDescent="0.25">
      <c r="I489" s="2"/>
    </row>
    <row r="490" spans="9:9" x14ac:dyDescent="0.25">
      <c r="I490" s="2"/>
    </row>
    <row r="491" spans="9:9" x14ac:dyDescent="0.25">
      <c r="I491" s="2"/>
    </row>
    <row r="492" spans="9:9" x14ac:dyDescent="0.25">
      <c r="I492" s="2"/>
    </row>
    <row r="493" spans="9:9" x14ac:dyDescent="0.25">
      <c r="I493" s="2"/>
    </row>
    <row r="494" spans="9:9" x14ac:dyDescent="0.25">
      <c r="I494" s="2"/>
    </row>
    <row r="495" spans="9:9" x14ac:dyDescent="0.25">
      <c r="I495" s="2"/>
    </row>
    <row r="496" spans="9:9" x14ac:dyDescent="0.25">
      <c r="I496" s="2"/>
    </row>
    <row r="497" spans="9:9" x14ac:dyDescent="0.25">
      <c r="I497" s="2"/>
    </row>
    <row r="498" spans="9:9" x14ac:dyDescent="0.25">
      <c r="I498" s="2"/>
    </row>
    <row r="499" spans="9:9" x14ac:dyDescent="0.25">
      <c r="I499" s="2"/>
    </row>
    <row r="500" spans="9:9" x14ac:dyDescent="0.25">
      <c r="I500" s="2"/>
    </row>
    <row r="501" spans="9:9" x14ac:dyDescent="0.25">
      <c r="I501" s="2"/>
    </row>
    <row r="502" spans="9:9" x14ac:dyDescent="0.25">
      <c r="I502" s="2"/>
    </row>
    <row r="503" spans="9:9" x14ac:dyDescent="0.25">
      <c r="I503" s="2"/>
    </row>
    <row r="504" spans="9:9" x14ac:dyDescent="0.25">
      <c r="I504" s="2"/>
    </row>
    <row r="505" spans="9:9" x14ac:dyDescent="0.25">
      <c r="I505" s="2"/>
    </row>
    <row r="506" spans="9:9" x14ac:dyDescent="0.25">
      <c r="I506" s="2"/>
    </row>
    <row r="507" spans="9:9" x14ac:dyDescent="0.25">
      <c r="I507" s="2"/>
    </row>
    <row r="508" spans="9:9" x14ac:dyDescent="0.25">
      <c r="I508" s="2"/>
    </row>
    <row r="509" spans="9:9" x14ac:dyDescent="0.25">
      <c r="I509" s="2"/>
    </row>
    <row r="510" spans="9:9" x14ac:dyDescent="0.25">
      <c r="I510" s="2"/>
    </row>
    <row r="511" spans="9:9" x14ac:dyDescent="0.25">
      <c r="I511" s="2"/>
    </row>
    <row r="512" spans="9:9" x14ac:dyDescent="0.25">
      <c r="I512" s="2"/>
    </row>
    <row r="513" spans="9:9" x14ac:dyDescent="0.25">
      <c r="I513" s="2"/>
    </row>
    <row r="514" spans="9:9" x14ac:dyDescent="0.25">
      <c r="I514" s="2"/>
    </row>
    <row r="515" spans="9:9" x14ac:dyDescent="0.25">
      <c r="I515" s="2"/>
    </row>
    <row r="516" spans="9:9" x14ac:dyDescent="0.25">
      <c r="I516" s="2"/>
    </row>
    <row r="517" spans="9:9" x14ac:dyDescent="0.25">
      <c r="I517" s="2"/>
    </row>
    <row r="518" spans="9:9" x14ac:dyDescent="0.25">
      <c r="I518" s="2"/>
    </row>
    <row r="519" spans="9:9" x14ac:dyDescent="0.25">
      <c r="I519" s="2"/>
    </row>
    <row r="520" spans="9:9" x14ac:dyDescent="0.25">
      <c r="I520" s="2"/>
    </row>
    <row r="521" spans="9:9" x14ac:dyDescent="0.25">
      <c r="I521" s="2"/>
    </row>
    <row r="522" spans="9:9" x14ac:dyDescent="0.25">
      <c r="I522" s="2"/>
    </row>
    <row r="523" spans="9:9" x14ac:dyDescent="0.25">
      <c r="I523" s="2"/>
    </row>
    <row r="524" spans="9:9" x14ac:dyDescent="0.25">
      <c r="I524" s="2"/>
    </row>
    <row r="525" spans="9:9" x14ac:dyDescent="0.25">
      <c r="I525" s="2"/>
    </row>
    <row r="526" spans="9:9" x14ac:dyDescent="0.25">
      <c r="I526" s="2"/>
    </row>
    <row r="527" spans="9:9" x14ac:dyDescent="0.25">
      <c r="I527" s="2"/>
    </row>
    <row r="528" spans="9:9" x14ac:dyDescent="0.25">
      <c r="I528" s="2"/>
    </row>
    <row r="529" spans="9:9" x14ac:dyDescent="0.25">
      <c r="I529" s="2"/>
    </row>
    <row r="530" spans="9:9" x14ac:dyDescent="0.25">
      <c r="I530" s="2"/>
    </row>
    <row r="531" spans="9:9" x14ac:dyDescent="0.25">
      <c r="I531" s="2"/>
    </row>
    <row r="532" spans="9:9" x14ac:dyDescent="0.25">
      <c r="I532" s="2"/>
    </row>
    <row r="533" spans="9:9" x14ac:dyDescent="0.25">
      <c r="I533" s="2"/>
    </row>
    <row r="534" spans="9:9" x14ac:dyDescent="0.25">
      <c r="I534" s="2"/>
    </row>
    <row r="535" spans="9:9" x14ac:dyDescent="0.25">
      <c r="I535" s="2"/>
    </row>
    <row r="536" spans="9:9" x14ac:dyDescent="0.25">
      <c r="I536" s="2"/>
    </row>
    <row r="537" spans="9:9" x14ac:dyDescent="0.25">
      <c r="I537" s="2"/>
    </row>
    <row r="538" spans="9:9" x14ac:dyDescent="0.25">
      <c r="I538" s="2"/>
    </row>
    <row r="539" spans="9:9" x14ac:dyDescent="0.25">
      <c r="I539" s="2"/>
    </row>
    <row r="540" spans="9:9" x14ac:dyDescent="0.25">
      <c r="I540" s="2"/>
    </row>
    <row r="541" spans="9:9" x14ac:dyDescent="0.25">
      <c r="I541" s="2"/>
    </row>
    <row r="542" spans="9:9" x14ac:dyDescent="0.25">
      <c r="I542" s="2"/>
    </row>
    <row r="543" spans="9:9" x14ac:dyDescent="0.25">
      <c r="I543" s="2"/>
    </row>
    <row r="544" spans="9:9" x14ac:dyDescent="0.25">
      <c r="I544" s="2"/>
    </row>
    <row r="545" spans="9:9" x14ac:dyDescent="0.25">
      <c r="I545" s="2"/>
    </row>
    <row r="546" spans="9:9" x14ac:dyDescent="0.25">
      <c r="I546" s="2"/>
    </row>
    <row r="547" spans="9:9" x14ac:dyDescent="0.25">
      <c r="I547" s="2"/>
    </row>
    <row r="548" spans="9:9" x14ac:dyDescent="0.25">
      <c r="I548" s="2"/>
    </row>
    <row r="549" spans="9:9" x14ac:dyDescent="0.25">
      <c r="I549" s="2"/>
    </row>
    <row r="550" spans="9:9" x14ac:dyDescent="0.25">
      <c r="I550" s="2"/>
    </row>
    <row r="551" spans="9:9" x14ac:dyDescent="0.25">
      <c r="I551" s="2"/>
    </row>
    <row r="552" spans="9:9" x14ac:dyDescent="0.25">
      <c r="I552" s="2"/>
    </row>
    <row r="553" spans="9:9" x14ac:dyDescent="0.25">
      <c r="I553" s="2"/>
    </row>
    <row r="554" spans="9:9" x14ac:dyDescent="0.25">
      <c r="I554" s="2"/>
    </row>
    <row r="555" spans="9:9" x14ac:dyDescent="0.25">
      <c r="I555" s="2"/>
    </row>
    <row r="556" spans="9:9" x14ac:dyDescent="0.25">
      <c r="I556" s="2"/>
    </row>
    <row r="557" spans="9:9" x14ac:dyDescent="0.25">
      <c r="I557" s="2"/>
    </row>
    <row r="558" spans="9:9" x14ac:dyDescent="0.25">
      <c r="I558" s="2"/>
    </row>
    <row r="559" spans="9:9" x14ac:dyDescent="0.25">
      <c r="I559" s="2"/>
    </row>
    <row r="560" spans="9:9" x14ac:dyDescent="0.25">
      <c r="I560" s="2"/>
    </row>
    <row r="561" spans="9:9" x14ac:dyDescent="0.25">
      <c r="I561" s="2"/>
    </row>
    <row r="562" spans="9:9" x14ac:dyDescent="0.25">
      <c r="I562" s="2"/>
    </row>
    <row r="563" spans="9:9" x14ac:dyDescent="0.25">
      <c r="I563" s="2"/>
    </row>
    <row r="564" spans="9:9" x14ac:dyDescent="0.25">
      <c r="I564" s="2"/>
    </row>
    <row r="565" spans="9:9" x14ac:dyDescent="0.25">
      <c r="I565" s="2"/>
    </row>
    <row r="566" spans="9:9" x14ac:dyDescent="0.25">
      <c r="I566" s="2"/>
    </row>
    <row r="567" spans="9:9" x14ac:dyDescent="0.25">
      <c r="I567" s="2"/>
    </row>
    <row r="568" spans="9:9" x14ac:dyDescent="0.25">
      <c r="I568" s="2"/>
    </row>
    <row r="569" spans="9:9" x14ac:dyDescent="0.25">
      <c r="I569" s="2"/>
    </row>
    <row r="570" spans="9:9" x14ac:dyDescent="0.25">
      <c r="I570" s="2"/>
    </row>
    <row r="571" spans="9:9" x14ac:dyDescent="0.25">
      <c r="I571" s="2"/>
    </row>
    <row r="572" spans="9:9" x14ac:dyDescent="0.25">
      <c r="I572" s="2"/>
    </row>
    <row r="573" spans="9:9" x14ac:dyDescent="0.25">
      <c r="I573" s="2"/>
    </row>
    <row r="574" spans="9:9" x14ac:dyDescent="0.25">
      <c r="I574" s="2"/>
    </row>
    <row r="575" spans="9:9" x14ac:dyDescent="0.25">
      <c r="I575" s="2"/>
    </row>
    <row r="576" spans="9:9" x14ac:dyDescent="0.25">
      <c r="I576" s="2"/>
    </row>
    <row r="577" spans="9:9" x14ac:dyDescent="0.25">
      <c r="I577" s="2"/>
    </row>
    <row r="578" spans="9:9" x14ac:dyDescent="0.25">
      <c r="I578" s="2"/>
    </row>
    <row r="579" spans="9:9" x14ac:dyDescent="0.25">
      <c r="I579" s="2"/>
    </row>
    <row r="580" spans="9:9" x14ac:dyDescent="0.25">
      <c r="I580" s="2"/>
    </row>
    <row r="581" spans="9:9" x14ac:dyDescent="0.25">
      <c r="I581" s="2"/>
    </row>
    <row r="582" spans="9:9" x14ac:dyDescent="0.25">
      <c r="I582" s="2"/>
    </row>
    <row r="583" spans="9:9" x14ac:dyDescent="0.25">
      <c r="I583" s="2"/>
    </row>
    <row r="584" spans="9:9" x14ac:dyDescent="0.25">
      <c r="I584" s="2"/>
    </row>
    <row r="585" spans="9:9" x14ac:dyDescent="0.25">
      <c r="I585" s="2"/>
    </row>
    <row r="586" spans="9:9" x14ac:dyDescent="0.25">
      <c r="I586" s="2"/>
    </row>
    <row r="587" spans="9:9" x14ac:dyDescent="0.25">
      <c r="I587" s="2"/>
    </row>
    <row r="588" spans="9:9" x14ac:dyDescent="0.25">
      <c r="I588" s="2"/>
    </row>
    <row r="589" spans="9:9" x14ac:dyDescent="0.25">
      <c r="I589" s="2"/>
    </row>
    <row r="590" spans="9:9" x14ac:dyDescent="0.25">
      <c r="I590" s="2"/>
    </row>
    <row r="591" spans="9:9" x14ac:dyDescent="0.25">
      <c r="I591" s="2"/>
    </row>
    <row r="592" spans="9:9" x14ac:dyDescent="0.25">
      <c r="I592" s="2"/>
    </row>
    <row r="593" spans="9:9" x14ac:dyDescent="0.25">
      <c r="I593" s="2"/>
    </row>
    <row r="594" spans="9:9" x14ac:dyDescent="0.25">
      <c r="I594" s="2"/>
    </row>
    <row r="595" spans="9:9" x14ac:dyDescent="0.25">
      <c r="I595" s="2"/>
    </row>
    <row r="596" spans="9:9" x14ac:dyDescent="0.25">
      <c r="I596" s="2"/>
    </row>
    <row r="597" spans="9:9" x14ac:dyDescent="0.25">
      <c r="I597" s="2"/>
    </row>
    <row r="598" spans="9:9" x14ac:dyDescent="0.25">
      <c r="I598" s="2"/>
    </row>
    <row r="599" spans="9:9" x14ac:dyDescent="0.25">
      <c r="I599" s="2"/>
    </row>
    <row r="600" spans="9:9" x14ac:dyDescent="0.25">
      <c r="I600" s="2"/>
    </row>
    <row r="601" spans="9:9" x14ac:dyDescent="0.25">
      <c r="I601" s="2"/>
    </row>
    <row r="602" spans="9:9" x14ac:dyDescent="0.25">
      <c r="I602" s="2"/>
    </row>
    <row r="603" spans="9:9" x14ac:dyDescent="0.25">
      <c r="I603" s="2"/>
    </row>
    <row r="604" spans="9:9" x14ac:dyDescent="0.25">
      <c r="I604" s="2"/>
    </row>
    <row r="605" spans="9:9" x14ac:dyDescent="0.25">
      <c r="I605" s="2"/>
    </row>
    <row r="606" spans="9:9" x14ac:dyDescent="0.25">
      <c r="I606" s="2"/>
    </row>
    <row r="607" spans="9:9" x14ac:dyDescent="0.25">
      <c r="I607" s="2"/>
    </row>
    <row r="608" spans="9:9" x14ac:dyDescent="0.25">
      <c r="I608" s="2"/>
    </row>
    <row r="609" spans="9:9" x14ac:dyDescent="0.25">
      <c r="I609" s="2"/>
    </row>
    <row r="610" spans="9:9" x14ac:dyDescent="0.25">
      <c r="I610" s="2"/>
    </row>
    <row r="611" spans="9:9" x14ac:dyDescent="0.25">
      <c r="I611" s="2"/>
    </row>
    <row r="612" spans="9:9" x14ac:dyDescent="0.25">
      <c r="I612" s="2"/>
    </row>
    <row r="613" spans="9:9" x14ac:dyDescent="0.25">
      <c r="I613" s="2"/>
    </row>
    <row r="614" spans="9:9" x14ac:dyDescent="0.25">
      <c r="I614" s="2"/>
    </row>
    <row r="615" spans="9:9" x14ac:dyDescent="0.25">
      <c r="I615" s="2"/>
    </row>
    <row r="616" spans="9:9" x14ac:dyDescent="0.25">
      <c r="I616" s="2"/>
    </row>
    <row r="617" spans="9:9" x14ac:dyDescent="0.25">
      <c r="I617" s="2"/>
    </row>
    <row r="618" spans="9:9" x14ac:dyDescent="0.25">
      <c r="I618" s="2"/>
    </row>
    <row r="619" spans="9:9" x14ac:dyDescent="0.25">
      <c r="I619" s="2"/>
    </row>
    <row r="620" spans="9:9" x14ac:dyDescent="0.25">
      <c r="I620" s="2"/>
    </row>
    <row r="621" spans="9:9" x14ac:dyDescent="0.25">
      <c r="I621" s="2"/>
    </row>
    <row r="622" spans="9:9" x14ac:dyDescent="0.25">
      <c r="I622" s="2"/>
    </row>
    <row r="623" spans="9:9" x14ac:dyDescent="0.25">
      <c r="I623" s="2"/>
    </row>
    <row r="624" spans="9:9" x14ac:dyDescent="0.25">
      <c r="I624" s="2"/>
    </row>
    <row r="625" spans="9:9" x14ac:dyDescent="0.25">
      <c r="I625" s="2"/>
    </row>
    <row r="626" spans="9:9" x14ac:dyDescent="0.25">
      <c r="I626" s="2"/>
    </row>
    <row r="627" spans="9:9" x14ac:dyDescent="0.25">
      <c r="I627" s="2"/>
    </row>
    <row r="628" spans="9:9" x14ac:dyDescent="0.25">
      <c r="I628" s="2"/>
    </row>
    <row r="629" spans="9:9" x14ac:dyDescent="0.25">
      <c r="I629" s="2"/>
    </row>
    <row r="630" spans="9:9" x14ac:dyDescent="0.25">
      <c r="I630" s="2"/>
    </row>
    <row r="631" spans="9:9" x14ac:dyDescent="0.25">
      <c r="I631" s="2"/>
    </row>
    <row r="632" spans="9:9" x14ac:dyDescent="0.25">
      <c r="I632" s="2"/>
    </row>
    <row r="633" spans="9:9" x14ac:dyDescent="0.25">
      <c r="I633" s="2"/>
    </row>
    <row r="634" spans="9:9" x14ac:dyDescent="0.25">
      <c r="I634" s="2"/>
    </row>
    <row r="635" spans="9:9" x14ac:dyDescent="0.25">
      <c r="I635" s="2"/>
    </row>
    <row r="636" spans="9:9" x14ac:dyDescent="0.25">
      <c r="I636" s="2"/>
    </row>
    <row r="637" spans="9:9" x14ac:dyDescent="0.25">
      <c r="I637" s="2"/>
    </row>
    <row r="638" spans="9:9" x14ac:dyDescent="0.25">
      <c r="I638" s="2"/>
    </row>
    <row r="639" spans="9:9" x14ac:dyDescent="0.25">
      <c r="I639" s="2"/>
    </row>
    <row r="640" spans="9:9" x14ac:dyDescent="0.25">
      <c r="I640" s="2"/>
    </row>
    <row r="641" spans="9:9" x14ac:dyDescent="0.25">
      <c r="I641" s="2"/>
    </row>
    <row r="642" spans="9:9" x14ac:dyDescent="0.25">
      <c r="I642" s="2"/>
    </row>
    <row r="643" spans="9:9" x14ac:dyDescent="0.25">
      <c r="I643" s="2"/>
    </row>
    <row r="644" spans="9:9" x14ac:dyDescent="0.25">
      <c r="I644" s="2"/>
    </row>
    <row r="645" spans="9:9" x14ac:dyDescent="0.25">
      <c r="I645" s="2"/>
    </row>
    <row r="646" spans="9:9" x14ac:dyDescent="0.25">
      <c r="I646" s="2"/>
    </row>
    <row r="647" spans="9:9" x14ac:dyDescent="0.25">
      <c r="I647" s="2"/>
    </row>
    <row r="648" spans="9:9" x14ac:dyDescent="0.25">
      <c r="I648" s="2"/>
    </row>
    <row r="649" spans="9:9" x14ac:dyDescent="0.25">
      <c r="I649" s="2"/>
    </row>
    <row r="650" spans="9:9" x14ac:dyDescent="0.25">
      <c r="I650" s="2"/>
    </row>
    <row r="651" spans="9:9" x14ac:dyDescent="0.25">
      <c r="I651" s="2"/>
    </row>
    <row r="652" spans="9:9" x14ac:dyDescent="0.25">
      <c r="I652" s="2"/>
    </row>
    <row r="653" spans="9:9" x14ac:dyDescent="0.25">
      <c r="I653" s="2"/>
    </row>
    <row r="654" spans="9:9" x14ac:dyDescent="0.25">
      <c r="I654" s="2"/>
    </row>
    <row r="655" spans="9:9" x14ac:dyDescent="0.25">
      <c r="I655" s="2"/>
    </row>
    <row r="656" spans="9:9" x14ac:dyDescent="0.25">
      <c r="I656" s="2"/>
    </row>
    <row r="657" spans="9:9" x14ac:dyDescent="0.25">
      <c r="I657" s="2"/>
    </row>
    <row r="658" spans="9:9" x14ac:dyDescent="0.25">
      <c r="I658" s="2"/>
    </row>
    <row r="659" spans="9:9" x14ac:dyDescent="0.25">
      <c r="I659" s="2"/>
    </row>
    <row r="660" spans="9:9" x14ac:dyDescent="0.25">
      <c r="I660" s="2"/>
    </row>
    <row r="661" spans="9:9" x14ac:dyDescent="0.25">
      <c r="I661" s="2"/>
    </row>
    <row r="662" spans="9:9" x14ac:dyDescent="0.25">
      <c r="I662" s="2"/>
    </row>
    <row r="663" spans="9:9" x14ac:dyDescent="0.25">
      <c r="I663" s="2"/>
    </row>
    <row r="664" spans="9:9" x14ac:dyDescent="0.25">
      <c r="I664" s="2"/>
    </row>
    <row r="665" spans="9:9" x14ac:dyDescent="0.25">
      <c r="I665" s="2"/>
    </row>
    <row r="666" spans="9:9" x14ac:dyDescent="0.25">
      <c r="I666" s="2"/>
    </row>
    <row r="667" spans="9:9" x14ac:dyDescent="0.25">
      <c r="I667" s="2"/>
    </row>
    <row r="668" spans="9:9" x14ac:dyDescent="0.25">
      <c r="I668" s="2"/>
    </row>
    <row r="669" spans="9:9" x14ac:dyDescent="0.25">
      <c r="I669" s="2"/>
    </row>
    <row r="670" spans="9:9" x14ac:dyDescent="0.25">
      <c r="I670" s="2"/>
    </row>
    <row r="671" spans="9:9" x14ac:dyDescent="0.25">
      <c r="I671" s="2"/>
    </row>
    <row r="672" spans="9:9" x14ac:dyDescent="0.25">
      <c r="I672" s="2"/>
    </row>
    <row r="673" spans="9:9" x14ac:dyDescent="0.25">
      <c r="I673" s="2"/>
    </row>
    <row r="674" spans="9:9" x14ac:dyDescent="0.25">
      <c r="I674" s="2"/>
    </row>
    <row r="675" spans="9:9" x14ac:dyDescent="0.25">
      <c r="I675" s="2"/>
    </row>
    <row r="676" spans="9:9" x14ac:dyDescent="0.25">
      <c r="I676" s="2"/>
    </row>
    <row r="677" spans="9:9" x14ac:dyDescent="0.25">
      <c r="I677" s="2"/>
    </row>
    <row r="678" spans="9:9" x14ac:dyDescent="0.25">
      <c r="I678" s="2"/>
    </row>
    <row r="679" spans="9:9" x14ac:dyDescent="0.25">
      <c r="I679" s="2"/>
    </row>
    <row r="680" spans="9:9" x14ac:dyDescent="0.25">
      <c r="I680" s="2"/>
    </row>
    <row r="681" spans="9:9" x14ac:dyDescent="0.25">
      <c r="I681" s="2"/>
    </row>
    <row r="682" spans="9:9" x14ac:dyDescent="0.25">
      <c r="I682" s="2"/>
    </row>
    <row r="683" spans="9:9" x14ac:dyDescent="0.25">
      <c r="I683" s="2"/>
    </row>
    <row r="684" spans="9:9" x14ac:dyDescent="0.25">
      <c r="I684" s="2"/>
    </row>
    <row r="685" spans="9:9" x14ac:dyDescent="0.25">
      <c r="I685" s="2"/>
    </row>
    <row r="686" spans="9:9" x14ac:dyDescent="0.25">
      <c r="I686" s="2"/>
    </row>
    <row r="687" spans="9:9" x14ac:dyDescent="0.25">
      <c r="I687" s="2"/>
    </row>
    <row r="688" spans="9:9" x14ac:dyDescent="0.25">
      <c r="I688" s="2"/>
    </row>
    <row r="689" spans="9:9" x14ac:dyDescent="0.25">
      <c r="I689" s="2"/>
    </row>
    <row r="690" spans="9:9" x14ac:dyDescent="0.25">
      <c r="I690" s="2"/>
    </row>
    <row r="691" spans="9:9" x14ac:dyDescent="0.25">
      <c r="I691" s="2"/>
    </row>
    <row r="692" spans="9:9" x14ac:dyDescent="0.25">
      <c r="I692" s="2"/>
    </row>
    <row r="693" spans="9:9" x14ac:dyDescent="0.25">
      <c r="I693" s="2"/>
    </row>
    <row r="694" spans="9:9" x14ac:dyDescent="0.25">
      <c r="I694" s="2"/>
    </row>
    <row r="695" spans="9:9" x14ac:dyDescent="0.25">
      <c r="I695" s="2"/>
    </row>
    <row r="696" spans="9:9" x14ac:dyDescent="0.25">
      <c r="I696" s="2"/>
    </row>
    <row r="697" spans="9:9" x14ac:dyDescent="0.25">
      <c r="I697" s="2"/>
    </row>
    <row r="698" spans="9:9" x14ac:dyDescent="0.25">
      <c r="I698" s="2"/>
    </row>
    <row r="699" spans="9:9" x14ac:dyDescent="0.25">
      <c r="I699" s="2"/>
    </row>
    <row r="700" spans="9:9" x14ac:dyDescent="0.25">
      <c r="I700" s="2"/>
    </row>
    <row r="701" spans="9:9" x14ac:dyDescent="0.25">
      <c r="I701" s="2"/>
    </row>
    <row r="702" spans="9:9" x14ac:dyDescent="0.25">
      <c r="I702" s="2"/>
    </row>
    <row r="703" spans="9:9" x14ac:dyDescent="0.25">
      <c r="I703" s="2"/>
    </row>
    <row r="704" spans="9:9" x14ac:dyDescent="0.25">
      <c r="I704" s="2"/>
    </row>
    <row r="705" spans="9:9" x14ac:dyDescent="0.25">
      <c r="I705" s="2"/>
    </row>
    <row r="706" spans="9:9" x14ac:dyDescent="0.25">
      <c r="I706" s="2"/>
    </row>
    <row r="707" spans="9:9" x14ac:dyDescent="0.25">
      <c r="I707" s="2"/>
    </row>
    <row r="708" spans="9:9" x14ac:dyDescent="0.25">
      <c r="I708" s="2"/>
    </row>
    <row r="709" spans="9:9" x14ac:dyDescent="0.25">
      <c r="I709" s="2"/>
    </row>
    <row r="710" spans="9:9" x14ac:dyDescent="0.25">
      <c r="I710" s="2"/>
    </row>
    <row r="711" spans="9:9" x14ac:dyDescent="0.25">
      <c r="I711" s="2"/>
    </row>
    <row r="712" spans="9:9" x14ac:dyDescent="0.25">
      <c r="I712" s="2"/>
    </row>
    <row r="713" spans="9:9" x14ac:dyDescent="0.25">
      <c r="I713" s="2"/>
    </row>
    <row r="714" spans="9:9" x14ac:dyDescent="0.25">
      <c r="I714" s="2"/>
    </row>
    <row r="715" spans="9:9" x14ac:dyDescent="0.25">
      <c r="I715" s="2"/>
    </row>
    <row r="716" spans="9:9" x14ac:dyDescent="0.25">
      <c r="I716" s="2"/>
    </row>
    <row r="717" spans="9:9" x14ac:dyDescent="0.25">
      <c r="I717" s="2"/>
    </row>
    <row r="718" spans="9:9" x14ac:dyDescent="0.25">
      <c r="I718" s="2"/>
    </row>
    <row r="719" spans="9:9" x14ac:dyDescent="0.25">
      <c r="I719" s="2"/>
    </row>
    <row r="720" spans="9:9" x14ac:dyDescent="0.25">
      <c r="I720" s="2"/>
    </row>
    <row r="721" spans="9:9" x14ac:dyDescent="0.25">
      <c r="I721" s="2"/>
    </row>
    <row r="722" spans="9:9" x14ac:dyDescent="0.25">
      <c r="I722" s="2"/>
    </row>
    <row r="723" spans="9:9" x14ac:dyDescent="0.25">
      <c r="I723" s="2"/>
    </row>
    <row r="724" spans="9:9" x14ac:dyDescent="0.25">
      <c r="I724" s="2"/>
    </row>
    <row r="725" spans="9:9" x14ac:dyDescent="0.25">
      <c r="I725" s="2"/>
    </row>
    <row r="726" spans="9:9" x14ac:dyDescent="0.25">
      <c r="I726" s="2"/>
    </row>
    <row r="727" spans="9:9" x14ac:dyDescent="0.25">
      <c r="I727" s="2"/>
    </row>
    <row r="728" spans="9:9" x14ac:dyDescent="0.25">
      <c r="I728" s="2"/>
    </row>
    <row r="729" spans="9:9" x14ac:dyDescent="0.25">
      <c r="I729" s="2"/>
    </row>
    <row r="730" spans="9:9" x14ac:dyDescent="0.25">
      <c r="I730" s="2"/>
    </row>
    <row r="731" spans="9:9" x14ac:dyDescent="0.25">
      <c r="I731" s="2"/>
    </row>
    <row r="732" spans="9:9" x14ac:dyDescent="0.25">
      <c r="I732" s="2"/>
    </row>
    <row r="733" spans="9:9" x14ac:dyDescent="0.25">
      <c r="I733" s="2"/>
    </row>
    <row r="734" spans="9:9" x14ac:dyDescent="0.25">
      <c r="I734" s="2"/>
    </row>
    <row r="735" spans="9:9" x14ac:dyDescent="0.25">
      <c r="I735" s="2"/>
    </row>
    <row r="736" spans="9:9" x14ac:dyDescent="0.25">
      <c r="I736" s="2"/>
    </row>
    <row r="737" spans="9:9" x14ac:dyDescent="0.25">
      <c r="I737" s="2"/>
    </row>
    <row r="738" spans="9:9" x14ac:dyDescent="0.25">
      <c r="I738" s="2"/>
    </row>
    <row r="739" spans="9:9" x14ac:dyDescent="0.25">
      <c r="I739" s="2"/>
    </row>
    <row r="740" spans="9:9" x14ac:dyDescent="0.25">
      <c r="I740" s="2"/>
    </row>
    <row r="741" spans="9:9" x14ac:dyDescent="0.25">
      <c r="I741" s="2"/>
    </row>
    <row r="742" spans="9:9" x14ac:dyDescent="0.25">
      <c r="I742" s="2"/>
    </row>
    <row r="743" spans="9:9" x14ac:dyDescent="0.25">
      <c r="I743" s="2"/>
    </row>
    <row r="744" spans="9:9" x14ac:dyDescent="0.25">
      <c r="I744" s="2"/>
    </row>
    <row r="745" spans="9:9" x14ac:dyDescent="0.25">
      <c r="I745" s="2"/>
    </row>
    <row r="746" spans="9:9" x14ac:dyDescent="0.25">
      <c r="I746" s="2"/>
    </row>
    <row r="747" spans="9:9" x14ac:dyDescent="0.25">
      <c r="I747" s="2"/>
    </row>
    <row r="748" spans="9:9" x14ac:dyDescent="0.25">
      <c r="I748" s="2"/>
    </row>
    <row r="749" spans="9:9" x14ac:dyDescent="0.25">
      <c r="I749" s="2"/>
    </row>
    <row r="750" spans="9:9" x14ac:dyDescent="0.25">
      <c r="I750" s="2"/>
    </row>
    <row r="751" spans="9:9" x14ac:dyDescent="0.25">
      <c r="I751" s="2"/>
    </row>
    <row r="752" spans="9:9" x14ac:dyDescent="0.25">
      <c r="I752" s="2"/>
    </row>
    <row r="753" spans="9:9" x14ac:dyDescent="0.25">
      <c r="I753" s="2"/>
    </row>
    <row r="754" spans="9:9" x14ac:dyDescent="0.25">
      <c r="I754" s="2"/>
    </row>
    <row r="755" spans="9:9" x14ac:dyDescent="0.25">
      <c r="I755" s="2"/>
    </row>
    <row r="756" spans="9:9" x14ac:dyDescent="0.25">
      <c r="I756" s="2"/>
    </row>
    <row r="757" spans="9:9" x14ac:dyDescent="0.25">
      <c r="I757" s="2"/>
    </row>
    <row r="758" spans="9:9" x14ac:dyDescent="0.25">
      <c r="I758" s="2"/>
    </row>
    <row r="759" spans="9:9" x14ac:dyDescent="0.25">
      <c r="I759" s="2"/>
    </row>
    <row r="760" spans="9:9" x14ac:dyDescent="0.25">
      <c r="I760" s="2"/>
    </row>
    <row r="761" spans="9:9" x14ac:dyDescent="0.25">
      <c r="I761" s="2"/>
    </row>
    <row r="762" spans="9:9" x14ac:dyDescent="0.25">
      <c r="I762" s="2"/>
    </row>
    <row r="763" spans="9:9" x14ac:dyDescent="0.25">
      <c r="I763" s="2"/>
    </row>
    <row r="764" spans="9:9" x14ac:dyDescent="0.25">
      <c r="I764" s="2"/>
    </row>
    <row r="765" spans="9:9" x14ac:dyDescent="0.25">
      <c r="I765" s="2"/>
    </row>
    <row r="766" spans="9:9" x14ac:dyDescent="0.25">
      <c r="I766" s="2"/>
    </row>
    <row r="767" spans="9:9" x14ac:dyDescent="0.25">
      <c r="I767" s="2"/>
    </row>
    <row r="768" spans="9:9" x14ac:dyDescent="0.25">
      <c r="I768" s="2"/>
    </row>
    <row r="769" spans="9:9" x14ac:dyDescent="0.25">
      <c r="I769" s="2"/>
    </row>
    <row r="770" spans="9:9" x14ac:dyDescent="0.25">
      <c r="I770" s="2"/>
    </row>
    <row r="771" spans="9:9" x14ac:dyDescent="0.25">
      <c r="I771" s="2"/>
    </row>
    <row r="772" spans="9:9" x14ac:dyDescent="0.25">
      <c r="I772" s="2"/>
    </row>
    <row r="773" spans="9:9" x14ac:dyDescent="0.25">
      <c r="I773" s="2"/>
    </row>
    <row r="774" spans="9:9" x14ac:dyDescent="0.25">
      <c r="I774" s="2"/>
    </row>
    <row r="775" spans="9:9" x14ac:dyDescent="0.25">
      <c r="I775" s="2"/>
    </row>
    <row r="776" spans="9:9" x14ac:dyDescent="0.25">
      <c r="I776" s="2"/>
    </row>
    <row r="777" spans="9:9" x14ac:dyDescent="0.25">
      <c r="I777" s="2"/>
    </row>
    <row r="778" spans="9:9" x14ac:dyDescent="0.25">
      <c r="I778" s="2"/>
    </row>
    <row r="779" spans="9:9" x14ac:dyDescent="0.25">
      <c r="I779" s="2"/>
    </row>
    <row r="780" spans="9:9" x14ac:dyDescent="0.25">
      <c r="I780" s="2"/>
    </row>
    <row r="781" spans="9:9" x14ac:dyDescent="0.25">
      <c r="I781" s="2"/>
    </row>
    <row r="782" spans="9:9" x14ac:dyDescent="0.25">
      <c r="I782" s="2"/>
    </row>
    <row r="783" spans="9:9" x14ac:dyDescent="0.25">
      <c r="I783" s="2"/>
    </row>
    <row r="784" spans="9:9" x14ac:dyDescent="0.25">
      <c r="I784" s="2"/>
    </row>
    <row r="785" spans="9:9" x14ac:dyDescent="0.25">
      <c r="I785" s="2"/>
    </row>
    <row r="786" spans="9:9" x14ac:dyDescent="0.25">
      <c r="I786" s="2"/>
    </row>
    <row r="787" spans="9:9" x14ac:dyDescent="0.25">
      <c r="I787" s="2"/>
    </row>
    <row r="788" spans="9:9" x14ac:dyDescent="0.25">
      <c r="I788" s="2"/>
    </row>
    <row r="789" spans="9:9" x14ac:dyDescent="0.25">
      <c r="I789" s="2"/>
    </row>
    <row r="790" spans="9:9" x14ac:dyDescent="0.25">
      <c r="I790" s="2"/>
    </row>
    <row r="791" spans="9:9" x14ac:dyDescent="0.25">
      <c r="I791" s="2"/>
    </row>
    <row r="792" spans="9:9" x14ac:dyDescent="0.25">
      <c r="I792" s="2"/>
    </row>
    <row r="793" spans="9:9" x14ac:dyDescent="0.25">
      <c r="I793" s="2"/>
    </row>
    <row r="794" spans="9:9" x14ac:dyDescent="0.25">
      <c r="I794" s="2"/>
    </row>
    <row r="795" spans="9:9" x14ac:dyDescent="0.25">
      <c r="I795" s="2"/>
    </row>
    <row r="796" spans="9:9" x14ac:dyDescent="0.25">
      <c r="I796" s="2"/>
    </row>
    <row r="797" spans="9:9" x14ac:dyDescent="0.25">
      <c r="I797" s="2"/>
    </row>
    <row r="798" spans="9:9" x14ac:dyDescent="0.25">
      <c r="I798" s="2"/>
    </row>
    <row r="799" spans="9:9" x14ac:dyDescent="0.25">
      <c r="I799" s="2"/>
    </row>
    <row r="800" spans="9:9" x14ac:dyDescent="0.25">
      <c r="I800" s="2"/>
    </row>
    <row r="801" spans="9:9" x14ac:dyDescent="0.25">
      <c r="I801" s="2"/>
    </row>
    <row r="802" spans="9:9" x14ac:dyDescent="0.25">
      <c r="I802" s="2"/>
    </row>
    <row r="803" spans="9:9" x14ac:dyDescent="0.25">
      <c r="I803" s="2"/>
    </row>
    <row r="804" spans="9:9" x14ac:dyDescent="0.25">
      <c r="I804" s="2"/>
    </row>
    <row r="805" spans="9:9" x14ac:dyDescent="0.25">
      <c r="I805" s="2"/>
    </row>
    <row r="806" spans="9:9" x14ac:dyDescent="0.25">
      <c r="I806" s="2"/>
    </row>
    <row r="807" spans="9:9" x14ac:dyDescent="0.25">
      <c r="I807" s="2"/>
    </row>
    <row r="808" spans="9:9" x14ac:dyDescent="0.25">
      <c r="I808" s="2"/>
    </row>
    <row r="809" spans="9:9" x14ac:dyDescent="0.25">
      <c r="I809" s="2"/>
    </row>
    <row r="810" spans="9:9" x14ac:dyDescent="0.25">
      <c r="I810" s="2"/>
    </row>
    <row r="811" spans="9:9" x14ac:dyDescent="0.25">
      <c r="I811" s="2"/>
    </row>
    <row r="812" spans="9:9" x14ac:dyDescent="0.25">
      <c r="I812" s="2"/>
    </row>
    <row r="813" spans="9:9" x14ac:dyDescent="0.25">
      <c r="I813" s="2"/>
    </row>
    <row r="814" spans="9:9" x14ac:dyDescent="0.25">
      <c r="I814" s="2"/>
    </row>
    <row r="815" spans="9:9" x14ac:dyDescent="0.25">
      <c r="I815" s="2"/>
    </row>
    <row r="816" spans="9:9" x14ac:dyDescent="0.25">
      <c r="I816" s="2"/>
    </row>
    <row r="817" spans="9:9" x14ac:dyDescent="0.25">
      <c r="I817" s="2"/>
    </row>
    <row r="818" spans="9:9" x14ac:dyDescent="0.25">
      <c r="I818" s="2"/>
    </row>
    <row r="819" spans="9:9" x14ac:dyDescent="0.25">
      <c r="I819" s="2"/>
    </row>
    <row r="820" spans="9:9" x14ac:dyDescent="0.25">
      <c r="I820" s="2"/>
    </row>
    <row r="821" spans="9:9" x14ac:dyDescent="0.25">
      <c r="I821" s="2"/>
    </row>
    <row r="822" spans="9:9" x14ac:dyDescent="0.25">
      <c r="I822" s="2"/>
    </row>
    <row r="823" spans="9:9" x14ac:dyDescent="0.25">
      <c r="I823" s="2"/>
    </row>
    <row r="824" spans="9:9" x14ac:dyDescent="0.25">
      <c r="I824" s="2"/>
    </row>
    <row r="825" spans="9:9" x14ac:dyDescent="0.25">
      <c r="I825" s="2"/>
    </row>
    <row r="826" spans="9:9" x14ac:dyDescent="0.25">
      <c r="I826" s="2"/>
    </row>
    <row r="827" spans="9:9" x14ac:dyDescent="0.25">
      <c r="I827" s="2"/>
    </row>
    <row r="828" spans="9:9" x14ac:dyDescent="0.25">
      <c r="I828" s="2"/>
    </row>
    <row r="829" spans="9:9" x14ac:dyDescent="0.25">
      <c r="I829" s="2"/>
    </row>
    <row r="830" spans="9:9" x14ac:dyDescent="0.25">
      <c r="I830" s="2"/>
    </row>
    <row r="831" spans="9:9" x14ac:dyDescent="0.25">
      <c r="I831" s="2"/>
    </row>
    <row r="832" spans="9:9" x14ac:dyDescent="0.25">
      <c r="I832" s="2"/>
    </row>
    <row r="833" spans="9:9" x14ac:dyDescent="0.25">
      <c r="I833" s="2"/>
    </row>
    <row r="834" spans="9:9" x14ac:dyDescent="0.25">
      <c r="I834" s="2"/>
    </row>
    <row r="835" spans="9:9" x14ac:dyDescent="0.25">
      <c r="I835" s="2"/>
    </row>
    <row r="836" spans="9:9" x14ac:dyDescent="0.25">
      <c r="I836" s="2"/>
    </row>
    <row r="837" spans="9:9" x14ac:dyDescent="0.25">
      <c r="I837" s="2"/>
    </row>
    <row r="838" spans="9:9" x14ac:dyDescent="0.25">
      <c r="I838" s="2"/>
    </row>
    <row r="839" spans="9:9" x14ac:dyDescent="0.25">
      <c r="I839" s="2"/>
    </row>
    <row r="840" spans="9:9" x14ac:dyDescent="0.25">
      <c r="I840" s="2"/>
    </row>
    <row r="841" spans="9:9" x14ac:dyDescent="0.25">
      <c r="I841" s="2"/>
    </row>
    <row r="842" spans="9:9" x14ac:dyDescent="0.25">
      <c r="I842" s="2"/>
    </row>
    <row r="843" spans="9:9" x14ac:dyDescent="0.25">
      <c r="I843" s="2"/>
    </row>
    <row r="844" spans="9:9" x14ac:dyDescent="0.25">
      <c r="I844" s="2"/>
    </row>
    <row r="845" spans="9:9" x14ac:dyDescent="0.25">
      <c r="I845" s="2"/>
    </row>
    <row r="846" spans="9:9" x14ac:dyDescent="0.25">
      <c r="I846" s="2"/>
    </row>
    <row r="847" spans="9:9" x14ac:dyDescent="0.25">
      <c r="I847" s="2"/>
    </row>
    <row r="848" spans="9:9" x14ac:dyDescent="0.25">
      <c r="I848" s="2"/>
    </row>
    <row r="849" spans="9:9" x14ac:dyDescent="0.25">
      <c r="I849" s="2"/>
    </row>
    <row r="850" spans="9:9" x14ac:dyDescent="0.25">
      <c r="I850" s="2"/>
    </row>
    <row r="851" spans="9:9" x14ac:dyDescent="0.25">
      <c r="I851" s="2"/>
    </row>
    <row r="852" spans="9:9" x14ac:dyDescent="0.25">
      <c r="I852" s="2"/>
    </row>
    <row r="853" spans="9:9" x14ac:dyDescent="0.25">
      <c r="I853" s="2"/>
    </row>
    <row r="854" spans="9:9" x14ac:dyDescent="0.25">
      <c r="I854" s="2"/>
    </row>
    <row r="855" spans="9:9" x14ac:dyDescent="0.25">
      <c r="I855" s="2"/>
    </row>
    <row r="856" spans="9:9" x14ac:dyDescent="0.25">
      <c r="I856" s="2"/>
    </row>
    <row r="857" spans="9:9" x14ac:dyDescent="0.25">
      <c r="I857" s="2"/>
    </row>
    <row r="858" spans="9:9" x14ac:dyDescent="0.25">
      <c r="I858" s="2"/>
    </row>
    <row r="859" spans="9:9" x14ac:dyDescent="0.25">
      <c r="I859" s="2"/>
    </row>
    <row r="860" spans="9:9" x14ac:dyDescent="0.25">
      <c r="I860" s="2"/>
    </row>
    <row r="861" spans="9:9" x14ac:dyDescent="0.25">
      <c r="I861" s="2"/>
    </row>
    <row r="862" spans="9:9" x14ac:dyDescent="0.25">
      <c r="I862" s="2"/>
    </row>
    <row r="863" spans="9:9" x14ac:dyDescent="0.25">
      <c r="I863" s="2"/>
    </row>
    <row r="864" spans="9:9" x14ac:dyDescent="0.25">
      <c r="I864" s="2"/>
    </row>
    <row r="865" spans="9:9" x14ac:dyDescent="0.25">
      <c r="I865" s="2"/>
    </row>
    <row r="866" spans="9:9" x14ac:dyDescent="0.25">
      <c r="I866" s="2"/>
    </row>
    <row r="867" spans="9:9" x14ac:dyDescent="0.25">
      <c r="I867" s="2"/>
    </row>
    <row r="868" spans="9:9" x14ac:dyDescent="0.25">
      <c r="I868" s="2"/>
    </row>
    <row r="869" spans="9:9" x14ac:dyDescent="0.25">
      <c r="I869" s="2"/>
    </row>
    <row r="870" spans="9:9" x14ac:dyDescent="0.25">
      <c r="I870" s="2"/>
    </row>
    <row r="871" spans="9:9" x14ac:dyDescent="0.25">
      <c r="I871" s="2"/>
    </row>
    <row r="872" spans="9:9" x14ac:dyDescent="0.25">
      <c r="I872" s="2"/>
    </row>
    <row r="873" spans="9:9" x14ac:dyDescent="0.25">
      <c r="I873" s="2"/>
    </row>
    <row r="874" spans="9:9" x14ac:dyDescent="0.25">
      <c r="I874" s="2"/>
    </row>
    <row r="875" spans="9:9" x14ac:dyDescent="0.25">
      <c r="I875" s="2"/>
    </row>
    <row r="876" spans="9:9" x14ac:dyDescent="0.25">
      <c r="I876" s="2"/>
    </row>
    <row r="877" spans="9:9" x14ac:dyDescent="0.25">
      <c r="I877" s="2"/>
    </row>
    <row r="878" spans="9:9" x14ac:dyDescent="0.25">
      <c r="I878" s="2"/>
    </row>
    <row r="879" spans="9:9" x14ac:dyDescent="0.25">
      <c r="I879" s="2"/>
    </row>
    <row r="880" spans="9:9" x14ac:dyDescent="0.25">
      <c r="I880" s="2"/>
    </row>
    <row r="881" spans="9:9" x14ac:dyDescent="0.25">
      <c r="I881" s="2"/>
    </row>
    <row r="882" spans="9:9" x14ac:dyDescent="0.25">
      <c r="I882" s="2"/>
    </row>
    <row r="883" spans="9:9" x14ac:dyDescent="0.25">
      <c r="I883" s="2"/>
    </row>
    <row r="884" spans="9:9" x14ac:dyDescent="0.25">
      <c r="I884" s="2"/>
    </row>
    <row r="885" spans="9:9" x14ac:dyDescent="0.25">
      <c r="I885" s="2"/>
    </row>
    <row r="886" spans="9:9" x14ac:dyDescent="0.25">
      <c r="I886" s="2"/>
    </row>
    <row r="887" spans="9:9" x14ac:dyDescent="0.25">
      <c r="I887" s="2"/>
    </row>
    <row r="888" spans="9:9" x14ac:dyDescent="0.25">
      <c r="I888" s="2"/>
    </row>
    <row r="889" spans="9:9" x14ac:dyDescent="0.25">
      <c r="I889" s="2"/>
    </row>
    <row r="890" spans="9:9" x14ac:dyDescent="0.25">
      <c r="I890" s="2"/>
    </row>
    <row r="891" spans="9:9" x14ac:dyDescent="0.25">
      <c r="I891" s="2"/>
    </row>
    <row r="892" spans="9:9" x14ac:dyDescent="0.25">
      <c r="I892" s="2"/>
    </row>
    <row r="893" spans="9:9" x14ac:dyDescent="0.25">
      <c r="I893" s="2"/>
    </row>
    <row r="894" spans="9:9" x14ac:dyDescent="0.25">
      <c r="I894" s="2"/>
    </row>
    <row r="895" spans="9:9" x14ac:dyDescent="0.25">
      <c r="I895" s="2"/>
    </row>
    <row r="896" spans="9:9" x14ac:dyDescent="0.25">
      <c r="I896" s="2"/>
    </row>
    <row r="897" spans="9:9" x14ac:dyDescent="0.25">
      <c r="I897" s="2"/>
    </row>
    <row r="898" spans="9:9" x14ac:dyDescent="0.25">
      <c r="I898" s="2"/>
    </row>
    <row r="899" spans="9:9" x14ac:dyDescent="0.25">
      <c r="I899" s="2"/>
    </row>
    <row r="900" spans="9:9" x14ac:dyDescent="0.25">
      <c r="I900" s="2"/>
    </row>
    <row r="901" spans="9:9" x14ac:dyDescent="0.25">
      <c r="I901" s="2"/>
    </row>
    <row r="902" spans="9:9" x14ac:dyDescent="0.25">
      <c r="I902" s="2"/>
    </row>
    <row r="903" spans="9:9" x14ac:dyDescent="0.25">
      <c r="I903" s="2"/>
    </row>
    <row r="904" spans="9:9" x14ac:dyDescent="0.25">
      <c r="I904" s="2"/>
    </row>
    <row r="905" spans="9:9" x14ac:dyDescent="0.25">
      <c r="I905" s="2"/>
    </row>
    <row r="906" spans="9:9" x14ac:dyDescent="0.25">
      <c r="I906" s="2"/>
    </row>
    <row r="907" spans="9:9" x14ac:dyDescent="0.25">
      <c r="I907" s="2"/>
    </row>
    <row r="908" spans="9:9" x14ac:dyDescent="0.25">
      <c r="I908" s="2"/>
    </row>
    <row r="909" spans="9:9" x14ac:dyDescent="0.25">
      <c r="I909" s="2"/>
    </row>
    <row r="910" spans="9:9" x14ac:dyDescent="0.25">
      <c r="I910" s="2"/>
    </row>
    <row r="911" spans="9:9" x14ac:dyDescent="0.25">
      <c r="I911" s="2"/>
    </row>
    <row r="912" spans="9:9" x14ac:dyDescent="0.25">
      <c r="I912" s="2"/>
    </row>
    <row r="913" spans="9:9" x14ac:dyDescent="0.25">
      <c r="I913" s="2"/>
    </row>
    <row r="914" spans="9:9" x14ac:dyDescent="0.25">
      <c r="I914" s="2"/>
    </row>
    <row r="915" spans="9:9" x14ac:dyDescent="0.25">
      <c r="I915" s="2"/>
    </row>
    <row r="916" spans="9:9" x14ac:dyDescent="0.25">
      <c r="I916" s="2"/>
    </row>
    <row r="917" spans="9:9" x14ac:dyDescent="0.25">
      <c r="I917" s="2"/>
    </row>
    <row r="918" spans="9:9" x14ac:dyDescent="0.25">
      <c r="I918" s="2"/>
    </row>
    <row r="919" spans="9:9" x14ac:dyDescent="0.25">
      <c r="I919" s="2"/>
    </row>
    <row r="920" spans="9:9" x14ac:dyDescent="0.25">
      <c r="I920" s="2"/>
    </row>
    <row r="921" spans="9:9" x14ac:dyDescent="0.25">
      <c r="I921" s="2"/>
    </row>
    <row r="922" spans="9:9" x14ac:dyDescent="0.25">
      <c r="I922" s="2"/>
    </row>
    <row r="923" spans="9:9" x14ac:dyDescent="0.25">
      <c r="I923" s="2"/>
    </row>
    <row r="924" spans="9:9" x14ac:dyDescent="0.25">
      <c r="I924" s="2"/>
    </row>
    <row r="925" spans="9:9" x14ac:dyDescent="0.25">
      <c r="I925" s="2"/>
    </row>
    <row r="926" spans="9:9" x14ac:dyDescent="0.25">
      <c r="I926" s="2"/>
    </row>
    <row r="927" spans="9:9" x14ac:dyDescent="0.25">
      <c r="I927" s="2"/>
    </row>
    <row r="928" spans="9:9" x14ac:dyDescent="0.25">
      <c r="I928" s="2"/>
    </row>
    <row r="929" spans="9:9" x14ac:dyDescent="0.25">
      <c r="I929" s="2"/>
    </row>
    <row r="930" spans="9:9" x14ac:dyDescent="0.25">
      <c r="I930" s="2"/>
    </row>
    <row r="931" spans="9:9" x14ac:dyDescent="0.25">
      <c r="I931" s="2"/>
    </row>
    <row r="932" spans="9:9" x14ac:dyDescent="0.25">
      <c r="I932" s="2"/>
    </row>
    <row r="933" spans="9:9" x14ac:dyDescent="0.25">
      <c r="I933" s="2"/>
    </row>
    <row r="934" spans="9:9" x14ac:dyDescent="0.25">
      <c r="I934" s="2"/>
    </row>
    <row r="935" spans="9:9" x14ac:dyDescent="0.25">
      <c r="I935" s="2"/>
    </row>
    <row r="936" spans="9:9" x14ac:dyDescent="0.25">
      <c r="I936" s="2"/>
    </row>
    <row r="937" spans="9:9" x14ac:dyDescent="0.25">
      <c r="I937" s="2"/>
    </row>
    <row r="938" spans="9:9" x14ac:dyDescent="0.25">
      <c r="I938" s="2"/>
    </row>
    <row r="939" spans="9:9" x14ac:dyDescent="0.25">
      <c r="I939" s="2"/>
    </row>
    <row r="940" spans="9:9" x14ac:dyDescent="0.25">
      <c r="I940" s="2"/>
    </row>
    <row r="941" spans="9:9" x14ac:dyDescent="0.25">
      <c r="I941" s="2"/>
    </row>
    <row r="942" spans="9:9" x14ac:dyDescent="0.25">
      <c r="I942" s="2"/>
    </row>
    <row r="943" spans="9:9" x14ac:dyDescent="0.25">
      <c r="I943" s="2"/>
    </row>
    <row r="944" spans="9:9" x14ac:dyDescent="0.25">
      <c r="I944" s="2"/>
    </row>
    <row r="945" spans="9:9" x14ac:dyDescent="0.25">
      <c r="I945" s="2"/>
    </row>
    <row r="946" spans="9:9" x14ac:dyDescent="0.25">
      <c r="I946" s="2"/>
    </row>
    <row r="947" spans="9:9" x14ac:dyDescent="0.25">
      <c r="I947" s="2"/>
    </row>
    <row r="948" spans="9:9" x14ac:dyDescent="0.25">
      <c r="I948" s="2"/>
    </row>
    <row r="949" spans="9:9" x14ac:dyDescent="0.25">
      <c r="I949" s="2"/>
    </row>
    <row r="950" spans="9:9" x14ac:dyDescent="0.25">
      <c r="I950" s="2"/>
    </row>
    <row r="951" spans="9:9" x14ac:dyDescent="0.25">
      <c r="I951" s="2"/>
    </row>
    <row r="952" spans="9:9" x14ac:dyDescent="0.25">
      <c r="I952" s="2"/>
    </row>
    <row r="953" spans="9:9" x14ac:dyDescent="0.25">
      <c r="I953" s="2"/>
    </row>
    <row r="954" spans="9:9" x14ac:dyDescent="0.25">
      <c r="I954" s="2"/>
    </row>
    <row r="955" spans="9:9" x14ac:dyDescent="0.25">
      <c r="I955" s="2"/>
    </row>
    <row r="956" spans="9:9" x14ac:dyDescent="0.25">
      <c r="I956" s="2"/>
    </row>
    <row r="957" spans="9:9" x14ac:dyDescent="0.25">
      <c r="I957" s="2"/>
    </row>
    <row r="958" spans="9:9" x14ac:dyDescent="0.25">
      <c r="I958" s="2"/>
    </row>
    <row r="959" spans="9:9" x14ac:dyDescent="0.25">
      <c r="I959" s="2"/>
    </row>
    <row r="960" spans="9:9" x14ac:dyDescent="0.25">
      <c r="I960" s="2"/>
    </row>
    <row r="961" spans="9:9" x14ac:dyDescent="0.25">
      <c r="I961" s="2"/>
    </row>
    <row r="962" spans="9:9" x14ac:dyDescent="0.25">
      <c r="I962" s="2"/>
    </row>
    <row r="963" spans="9:9" x14ac:dyDescent="0.25">
      <c r="I963" s="2"/>
    </row>
    <row r="964" spans="9:9" x14ac:dyDescent="0.25">
      <c r="I964" s="2"/>
    </row>
    <row r="965" spans="9:9" x14ac:dyDescent="0.25">
      <c r="I965" s="2"/>
    </row>
    <row r="966" spans="9:9" x14ac:dyDescent="0.25">
      <c r="I966" s="2"/>
    </row>
    <row r="967" spans="9:9" x14ac:dyDescent="0.25">
      <c r="I967" s="2"/>
    </row>
    <row r="968" spans="9:9" x14ac:dyDescent="0.25">
      <c r="I968" s="2"/>
    </row>
    <row r="969" spans="9:9" x14ac:dyDescent="0.25">
      <c r="I969" s="2"/>
    </row>
    <row r="970" spans="9:9" x14ac:dyDescent="0.25">
      <c r="I970" s="2"/>
    </row>
    <row r="971" spans="9:9" x14ac:dyDescent="0.25">
      <c r="I971" s="2"/>
    </row>
    <row r="972" spans="9:9" x14ac:dyDescent="0.25">
      <c r="I972" s="2"/>
    </row>
    <row r="973" spans="9:9" x14ac:dyDescent="0.25">
      <c r="I973" s="2"/>
    </row>
    <row r="974" spans="9:9" x14ac:dyDescent="0.25">
      <c r="I974" s="2"/>
    </row>
    <row r="975" spans="9:9" x14ac:dyDescent="0.25">
      <c r="I975" s="2"/>
    </row>
    <row r="976" spans="9:9" x14ac:dyDescent="0.25">
      <c r="I976" s="2"/>
    </row>
    <row r="977" spans="9:9" x14ac:dyDescent="0.25">
      <c r="I977" s="2"/>
    </row>
    <row r="978" spans="9:9" x14ac:dyDescent="0.25">
      <c r="I978" s="2"/>
    </row>
    <row r="979" spans="9:9" x14ac:dyDescent="0.25">
      <c r="I979" s="2"/>
    </row>
    <row r="980" spans="9:9" x14ac:dyDescent="0.25">
      <c r="I980" s="2"/>
    </row>
    <row r="981" spans="9:9" x14ac:dyDescent="0.25">
      <c r="I981" s="2"/>
    </row>
    <row r="982" spans="9:9" x14ac:dyDescent="0.25">
      <c r="I982" s="2"/>
    </row>
    <row r="983" spans="9:9" x14ac:dyDescent="0.25">
      <c r="I983" s="2"/>
    </row>
    <row r="984" spans="9:9" x14ac:dyDescent="0.25">
      <c r="I984" s="2"/>
    </row>
    <row r="985" spans="9:9" x14ac:dyDescent="0.25">
      <c r="I985" s="2"/>
    </row>
    <row r="986" spans="9:9" x14ac:dyDescent="0.25">
      <c r="I986" s="2"/>
    </row>
    <row r="987" spans="9:9" x14ac:dyDescent="0.25">
      <c r="I987" s="2"/>
    </row>
    <row r="988" spans="9:9" x14ac:dyDescent="0.25">
      <c r="I988" s="2"/>
    </row>
    <row r="989" spans="9:9" x14ac:dyDescent="0.25">
      <c r="I989" s="2"/>
    </row>
    <row r="990" spans="9:9" x14ac:dyDescent="0.25">
      <c r="I990" s="2"/>
    </row>
    <row r="991" spans="9:9" x14ac:dyDescent="0.25">
      <c r="I991" s="2"/>
    </row>
    <row r="992" spans="9:9" x14ac:dyDescent="0.25">
      <c r="I992" s="2"/>
    </row>
    <row r="993" spans="9:9" x14ac:dyDescent="0.25">
      <c r="I993" s="2"/>
    </row>
    <row r="994" spans="9:9" x14ac:dyDescent="0.25">
      <c r="I994" s="2"/>
    </row>
    <row r="995" spans="9:9" x14ac:dyDescent="0.25">
      <c r="I995" s="2"/>
    </row>
  </sheetData>
  <mergeCells count="10">
    <mergeCell ref="P25:Q25"/>
    <mergeCell ref="L4:O4"/>
    <mergeCell ref="P4:Q4"/>
    <mergeCell ref="F25:G25"/>
    <mergeCell ref="F3:O3"/>
    <mergeCell ref="H25:K25"/>
    <mergeCell ref="F24:O24"/>
    <mergeCell ref="H4:K4"/>
    <mergeCell ref="F4:G4"/>
    <mergeCell ref="L25:O25"/>
  </mergeCells>
  <dataValidations count="1">
    <dataValidation type="list" allowBlank="1" sqref="E6:E21 E27:E40" xr:uid="{00000000-0002-0000-0B00-000000000000}">
      <formula1>"Work In Progress,Complete"</formula1>
    </dataValidation>
  </dataValidations>
  <pageMargins left="0.7" right="0.7" top="0.75" bottom="0.75" header="0" footer="0"/>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FF00"/>
  </sheetPr>
  <dimension ref="A1:U43"/>
  <sheetViews>
    <sheetView showGridLines="0" topLeftCell="A10" zoomScale="80" zoomScaleNormal="80" workbookViewId="0"/>
  </sheetViews>
  <sheetFormatPr defaultColWidth="14.42578125" defaultRowHeight="15" customHeight="1" outlineLevelRow="1" x14ac:dyDescent="0.25"/>
  <cols>
    <col min="1" max="1" width="17.42578125" customWidth="1"/>
    <col min="2" max="2" width="44.42578125" customWidth="1"/>
    <col min="3" max="4" width="26" customWidth="1"/>
    <col min="5" max="7" width="17.140625" customWidth="1"/>
    <col min="8" max="8" width="50.42578125" customWidth="1"/>
    <col min="9" max="20" width="9.85546875" customWidth="1"/>
    <col min="21" max="24" width="15.85546875" customWidth="1"/>
  </cols>
  <sheetData>
    <row r="1" spans="1:20" ht="15" customHeight="1" x14ac:dyDescent="0.35">
      <c r="A1" s="1" t="s">
        <v>1</v>
      </c>
    </row>
    <row r="2" spans="1:20" x14ac:dyDescent="0.25">
      <c r="J2" s="5"/>
      <c r="K2" s="6"/>
      <c r="L2" s="5"/>
      <c r="M2" s="5"/>
      <c r="N2" s="5"/>
      <c r="O2" s="6"/>
      <c r="P2" s="5"/>
      <c r="Q2" s="5"/>
      <c r="R2" s="5"/>
      <c r="S2" s="6"/>
      <c r="T2" s="5"/>
    </row>
    <row r="3" spans="1:20" ht="15" customHeight="1" x14ac:dyDescent="0.3">
      <c r="A3" s="7" t="s">
        <v>4</v>
      </c>
      <c r="I3" s="790">
        <v>2019</v>
      </c>
      <c r="J3" s="789"/>
      <c r="K3" s="787">
        <v>2020</v>
      </c>
      <c r="L3" s="788"/>
      <c r="M3" s="788"/>
      <c r="N3" s="789"/>
      <c r="O3" s="787">
        <v>2021</v>
      </c>
      <c r="P3" s="788"/>
      <c r="Q3" s="788"/>
      <c r="R3" s="789"/>
      <c r="S3" s="790">
        <v>2022</v>
      </c>
      <c r="T3" s="789"/>
    </row>
    <row r="4" spans="1:20" outlineLevel="1" x14ac:dyDescent="0.25">
      <c r="A4" s="8"/>
      <c r="B4" s="8"/>
      <c r="C4" s="8"/>
      <c r="D4" s="11"/>
      <c r="E4" s="8"/>
      <c r="F4" s="8"/>
      <c r="G4" s="8"/>
      <c r="H4" s="11"/>
      <c r="I4" s="13">
        <v>43647</v>
      </c>
      <c r="J4" s="13">
        <v>43739</v>
      </c>
      <c r="K4" s="13">
        <v>43831</v>
      </c>
      <c r="L4" s="13">
        <v>43922</v>
      </c>
      <c r="M4" s="13">
        <v>44013</v>
      </c>
      <c r="N4" s="13">
        <v>44105</v>
      </c>
      <c r="O4" s="13">
        <v>44197</v>
      </c>
      <c r="P4" s="13">
        <v>44287</v>
      </c>
      <c r="Q4" s="13">
        <v>44378</v>
      </c>
      <c r="R4" s="13">
        <v>44470</v>
      </c>
      <c r="S4" s="13">
        <v>44562</v>
      </c>
      <c r="T4" s="13">
        <v>44652</v>
      </c>
    </row>
    <row r="5" spans="1:20" x14ac:dyDescent="0.25">
      <c r="A5" s="15" t="s">
        <v>8</v>
      </c>
      <c r="B5" s="15" t="s">
        <v>11</v>
      </c>
      <c r="C5" s="15" t="s">
        <v>12</v>
      </c>
      <c r="D5" s="16" t="s">
        <v>13</v>
      </c>
      <c r="E5" s="17" t="s">
        <v>14</v>
      </c>
      <c r="F5" s="17"/>
      <c r="G5" s="17" t="s">
        <v>15</v>
      </c>
      <c r="H5" s="16" t="s">
        <v>16</v>
      </c>
      <c r="I5" s="19" t="s">
        <v>10</v>
      </c>
      <c r="J5" s="21" t="s">
        <v>17</v>
      </c>
      <c r="K5" s="23" t="s">
        <v>18</v>
      </c>
      <c r="L5" s="25" t="s">
        <v>19</v>
      </c>
      <c r="M5" s="25" t="s">
        <v>10</v>
      </c>
      <c r="N5" s="21" t="s">
        <v>17</v>
      </c>
      <c r="O5" s="23" t="s">
        <v>18</v>
      </c>
      <c r="P5" s="25" t="s">
        <v>19</v>
      </c>
      <c r="Q5" s="25" t="s">
        <v>10</v>
      </c>
      <c r="R5" s="21" t="s">
        <v>17</v>
      </c>
      <c r="S5" s="23" t="s">
        <v>18</v>
      </c>
      <c r="T5" s="25" t="s">
        <v>19</v>
      </c>
    </row>
    <row r="6" spans="1:20" x14ac:dyDescent="0.25">
      <c r="A6" s="27" t="s">
        <v>20</v>
      </c>
      <c r="B6" s="29" t="s">
        <v>22</v>
      </c>
      <c r="C6" s="30" t="s">
        <v>25</v>
      </c>
      <c r="D6" s="27" t="s">
        <v>26</v>
      </c>
      <c r="E6" s="30" t="s">
        <v>27</v>
      </c>
      <c r="F6" s="30"/>
      <c r="G6" s="27" t="s">
        <v>28</v>
      </c>
      <c r="H6" s="29" t="s">
        <v>29</v>
      </c>
      <c r="I6" s="31"/>
      <c r="J6" s="33"/>
      <c r="K6" s="33" t="s">
        <v>30</v>
      </c>
      <c r="L6" s="33" t="s">
        <v>30</v>
      </c>
      <c r="M6" s="33" t="s">
        <v>30</v>
      </c>
      <c r="N6" s="33" t="s">
        <v>30</v>
      </c>
      <c r="O6" s="33" t="s">
        <v>30</v>
      </c>
      <c r="P6" s="33" t="s">
        <v>30</v>
      </c>
      <c r="Q6" s="33" t="s">
        <v>30</v>
      </c>
      <c r="R6" s="33" t="s">
        <v>30</v>
      </c>
      <c r="S6" s="33" t="s">
        <v>30</v>
      </c>
      <c r="T6" s="33" t="s">
        <v>30</v>
      </c>
    </row>
    <row r="7" spans="1:20" x14ac:dyDescent="0.25">
      <c r="A7" s="27" t="s">
        <v>20</v>
      </c>
      <c r="B7" s="29" t="s">
        <v>22</v>
      </c>
      <c r="C7" s="35" t="s">
        <v>25</v>
      </c>
      <c r="D7" s="40" t="s">
        <v>31</v>
      </c>
      <c r="E7" s="30" t="s">
        <v>32</v>
      </c>
      <c r="F7" s="30"/>
      <c r="G7" s="27" t="s">
        <v>28</v>
      </c>
      <c r="H7" s="29" t="s">
        <v>29</v>
      </c>
      <c r="I7" s="31"/>
      <c r="J7" s="33" t="s">
        <v>30</v>
      </c>
      <c r="K7" s="33" t="s">
        <v>30</v>
      </c>
      <c r="L7" s="33" t="s">
        <v>30</v>
      </c>
      <c r="M7" s="33" t="s">
        <v>30</v>
      </c>
      <c r="N7" s="33" t="s">
        <v>30</v>
      </c>
      <c r="O7" s="33" t="s">
        <v>30</v>
      </c>
      <c r="P7" s="33" t="s">
        <v>30</v>
      </c>
      <c r="Q7" s="33" t="s">
        <v>30</v>
      </c>
      <c r="R7" s="33" t="s">
        <v>30</v>
      </c>
      <c r="S7" s="33" t="s">
        <v>30</v>
      </c>
      <c r="T7" s="33" t="s">
        <v>30</v>
      </c>
    </row>
    <row r="8" spans="1:20" x14ac:dyDescent="0.25">
      <c r="A8" s="27" t="s">
        <v>20</v>
      </c>
      <c r="B8" s="29" t="s">
        <v>22</v>
      </c>
      <c r="C8" s="35" t="s">
        <v>33</v>
      </c>
      <c r="D8" s="40" t="s">
        <v>31</v>
      </c>
      <c r="E8" s="30" t="s">
        <v>32</v>
      </c>
      <c r="F8" s="30"/>
      <c r="G8" s="27" t="s">
        <v>28</v>
      </c>
      <c r="H8" s="29" t="s">
        <v>29</v>
      </c>
      <c r="I8" s="31"/>
      <c r="J8" s="33" t="s">
        <v>30</v>
      </c>
      <c r="K8" s="33" t="s">
        <v>30</v>
      </c>
      <c r="L8" s="33" t="s">
        <v>30</v>
      </c>
      <c r="M8" s="33" t="s">
        <v>30</v>
      </c>
      <c r="N8" s="33" t="s">
        <v>30</v>
      </c>
      <c r="O8" s="33" t="s">
        <v>30</v>
      </c>
      <c r="P8" s="33" t="s">
        <v>30</v>
      </c>
      <c r="Q8" s="33" t="s">
        <v>30</v>
      </c>
      <c r="R8" s="33" t="s">
        <v>30</v>
      </c>
      <c r="S8" s="33" t="s">
        <v>30</v>
      </c>
      <c r="T8" s="33" t="s">
        <v>30</v>
      </c>
    </row>
    <row r="9" spans="1:20" x14ac:dyDescent="0.25">
      <c r="A9" s="27" t="s">
        <v>20</v>
      </c>
      <c r="B9" s="29" t="s">
        <v>22</v>
      </c>
      <c r="C9" s="35" t="s">
        <v>33</v>
      </c>
      <c r="D9" s="40" t="s">
        <v>31</v>
      </c>
      <c r="E9" s="30" t="s">
        <v>27</v>
      </c>
      <c r="F9" s="30"/>
      <c r="G9" s="27" t="s">
        <v>28</v>
      </c>
      <c r="H9" s="29" t="s">
        <v>29</v>
      </c>
      <c r="I9" s="31"/>
      <c r="J9" s="33"/>
      <c r="K9" s="33" t="s">
        <v>30</v>
      </c>
      <c r="L9" s="33" t="s">
        <v>30</v>
      </c>
      <c r="M9" s="33" t="s">
        <v>30</v>
      </c>
      <c r="N9" s="33" t="s">
        <v>30</v>
      </c>
      <c r="O9" s="33" t="s">
        <v>30</v>
      </c>
      <c r="P9" s="33" t="s">
        <v>30</v>
      </c>
      <c r="Q9" s="33" t="s">
        <v>30</v>
      </c>
      <c r="R9" s="33" t="s">
        <v>30</v>
      </c>
      <c r="S9" s="33" t="s">
        <v>30</v>
      </c>
      <c r="T9" s="33" t="s">
        <v>30</v>
      </c>
    </row>
    <row r="10" spans="1:20" x14ac:dyDescent="0.25">
      <c r="A10" s="27" t="s">
        <v>20</v>
      </c>
      <c r="B10" s="29" t="s">
        <v>22</v>
      </c>
      <c r="C10" s="35" t="s">
        <v>33</v>
      </c>
      <c r="D10" s="40" t="s">
        <v>34</v>
      </c>
      <c r="E10" s="30" t="s">
        <v>27</v>
      </c>
      <c r="F10" s="30"/>
      <c r="G10" s="27" t="s">
        <v>28</v>
      </c>
      <c r="H10" s="29" t="s">
        <v>29</v>
      </c>
      <c r="I10" s="31"/>
      <c r="J10" s="33"/>
      <c r="K10" s="33" t="s">
        <v>30</v>
      </c>
      <c r="L10" s="33" t="s">
        <v>30</v>
      </c>
      <c r="M10" s="33" t="s">
        <v>30</v>
      </c>
      <c r="N10" s="33" t="s">
        <v>30</v>
      </c>
      <c r="O10" s="33" t="s">
        <v>30</v>
      </c>
      <c r="P10" s="33" t="s">
        <v>30</v>
      </c>
      <c r="Q10" s="33" t="s">
        <v>30</v>
      </c>
      <c r="R10" s="33" t="s">
        <v>30</v>
      </c>
      <c r="S10" s="33" t="s">
        <v>30</v>
      </c>
      <c r="T10" s="33" t="s">
        <v>30</v>
      </c>
    </row>
    <row r="11" spans="1:20" x14ac:dyDescent="0.25">
      <c r="A11" s="27" t="s">
        <v>20</v>
      </c>
      <c r="B11" s="29" t="s">
        <v>22</v>
      </c>
      <c r="C11" s="35" t="s">
        <v>33</v>
      </c>
      <c r="D11" s="40" t="s">
        <v>34</v>
      </c>
      <c r="E11" s="30" t="s">
        <v>27</v>
      </c>
      <c r="F11" s="30"/>
      <c r="G11" s="27" t="s">
        <v>28</v>
      </c>
      <c r="H11" s="29" t="s">
        <v>29</v>
      </c>
      <c r="I11" s="31"/>
      <c r="J11" s="33"/>
      <c r="K11" s="33" t="s">
        <v>30</v>
      </c>
      <c r="L11" s="33" t="s">
        <v>30</v>
      </c>
      <c r="M11" s="33" t="s">
        <v>30</v>
      </c>
      <c r="N11" s="33" t="s">
        <v>30</v>
      </c>
      <c r="O11" s="33" t="s">
        <v>30</v>
      </c>
      <c r="P11" s="33" t="s">
        <v>30</v>
      </c>
      <c r="Q11" s="33" t="s">
        <v>30</v>
      </c>
      <c r="R11" s="33" t="s">
        <v>30</v>
      </c>
      <c r="S11" s="33" t="s">
        <v>30</v>
      </c>
      <c r="T11" s="33" t="s">
        <v>30</v>
      </c>
    </row>
    <row r="12" spans="1:20" x14ac:dyDescent="0.25">
      <c r="A12" s="27" t="s">
        <v>20</v>
      </c>
      <c r="B12" s="29" t="s">
        <v>22</v>
      </c>
      <c r="C12" s="35" t="s">
        <v>25</v>
      </c>
      <c r="D12" s="40" t="s">
        <v>35</v>
      </c>
      <c r="E12" s="30" t="s">
        <v>27</v>
      </c>
      <c r="F12" s="30"/>
      <c r="G12" s="27" t="s">
        <v>28</v>
      </c>
      <c r="H12" s="29" t="s">
        <v>29</v>
      </c>
      <c r="I12" s="31"/>
      <c r="J12" s="33"/>
      <c r="K12" s="33" t="s">
        <v>30</v>
      </c>
      <c r="L12" s="33" t="s">
        <v>30</v>
      </c>
      <c r="M12" s="33" t="s">
        <v>30</v>
      </c>
      <c r="N12" s="33" t="s">
        <v>30</v>
      </c>
      <c r="O12" s="33" t="s">
        <v>30</v>
      </c>
      <c r="P12" s="33" t="s">
        <v>30</v>
      </c>
      <c r="Q12" s="33" t="s">
        <v>30</v>
      </c>
      <c r="R12" s="33" t="s">
        <v>30</v>
      </c>
      <c r="S12" s="33" t="s">
        <v>30</v>
      </c>
      <c r="T12" s="33" t="s">
        <v>30</v>
      </c>
    </row>
    <row r="13" spans="1:20" x14ac:dyDescent="0.25">
      <c r="A13" s="27" t="s">
        <v>20</v>
      </c>
      <c r="B13" s="29" t="s">
        <v>22</v>
      </c>
      <c r="C13" s="35" t="s">
        <v>33</v>
      </c>
      <c r="D13" s="35" t="s">
        <v>36</v>
      </c>
      <c r="E13" s="30" t="s">
        <v>27</v>
      </c>
      <c r="F13" s="30"/>
      <c r="G13" s="27" t="s">
        <v>28</v>
      </c>
      <c r="H13" s="29" t="s">
        <v>29</v>
      </c>
      <c r="I13" s="31"/>
      <c r="J13" s="33"/>
      <c r="K13" s="33" t="s">
        <v>30</v>
      </c>
      <c r="L13" s="33" t="s">
        <v>30</v>
      </c>
      <c r="M13" s="33" t="s">
        <v>30</v>
      </c>
      <c r="N13" s="33" t="s">
        <v>30</v>
      </c>
      <c r="O13" s="33" t="s">
        <v>30</v>
      </c>
      <c r="P13" s="33" t="s">
        <v>30</v>
      </c>
      <c r="Q13" s="33" t="s">
        <v>30</v>
      </c>
      <c r="R13" s="33" t="s">
        <v>30</v>
      </c>
      <c r="S13" s="33" t="s">
        <v>30</v>
      </c>
      <c r="T13" s="33" t="s">
        <v>30</v>
      </c>
    </row>
    <row r="14" spans="1:20" x14ac:dyDescent="0.25">
      <c r="A14" s="27" t="s">
        <v>20</v>
      </c>
      <c r="B14" s="29" t="s">
        <v>22</v>
      </c>
      <c r="C14" s="35" t="s">
        <v>25</v>
      </c>
      <c r="D14" s="35" t="s">
        <v>37</v>
      </c>
      <c r="E14" s="30" t="s">
        <v>32</v>
      </c>
      <c r="F14" s="30"/>
      <c r="G14" s="27" t="s">
        <v>28</v>
      </c>
      <c r="H14" s="29" t="s">
        <v>29</v>
      </c>
      <c r="I14" s="31"/>
      <c r="J14" s="33" t="s">
        <v>30</v>
      </c>
      <c r="K14" s="33" t="s">
        <v>30</v>
      </c>
      <c r="L14" s="33" t="s">
        <v>30</v>
      </c>
      <c r="M14" s="33" t="s">
        <v>30</v>
      </c>
      <c r="N14" s="33" t="s">
        <v>30</v>
      </c>
      <c r="O14" s="33" t="s">
        <v>30</v>
      </c>
      <c r="P14" s="33" t="s">
        <v>30</v>
      </c>
      <c r="Q14" s="33" t="s">
        <v>30</v>
      </c>
      <c r="R14" s="33" t="s">
        <v>30</v>
      </c>
      <c r="S14" s="33" t="s">
        <v>30</v>
      </c>
      <c r="T14" s="33" t="s">
        <v>30</v>
      </c>
    </row>
    <row r="15" spans="1:20" x14ac:dyDescent="0.25">
      <c r="A15" s="27" t="s">
        <v>20</v>
      </c>
      <c r="B15" s="29" t="s">
        <v>22</v>
      </c>
      <c r="C15" s="35" t="s">
        <v>39</v>
      </c>
      <c r="D15" s="40" t="s">
        <v>40</v>
      </c>
      <c r="E15" s="30" t="s">
        <v>32</v>
      </c>
      <c r="F15" s="30"/>
      <c r="G15" s="27" t="s">
        <v>28</v>
      </c>
      <c r="H15" s="29" t="s">
        <v>29</v>
      </c>
      <c r="I15" s="31"/>
      <c r="J15" s="33" t="s">
        <v>30</v>
      </c>
      <c r="K15" s="33" t="s">
        <v>30</v>
      </c>
      <c r="L15" s="33" t="s">
        <v>30</v>
      </c>
      <c r="M15" s="33" t="s">
        <v>30</v>
      </c>
      <c r="N15" s="33" t="s">
        <v>30</v>
      </c>
      <c r="O15" s="33" t="s">
        <v>30</v>
      </c>
      <c r="P15" s="33" t="s">
        <v>30</v>
      </c>
      <c r="Q15" s="33" t="s">
        <v>30</v>
      </c>
      <c r="R15" s="33" t="s">
        <v>30</v>
      </c>
      <c r="S15" s="33" t="s">
        <v>30</v>
      </c>
      <c r="T15" s="33" t="s">
        <v>30</v>
      </c>
    </row>
    <row r="16" spans="1:20" x14ac:dyDescent="0.25">
      <c r="A16" s="27" t="s">
        <v>20</v>
      </c>
      <c r="B16" s="29" t="s">
        <v>22</v>
      </c>
      <c r="C16" s="35" t="s">
        <v>41</v>
      </c>
      <c r="D16" s="40" t="s">
        <v>43</v>
      </c>
      <c r="E16" s="30" t="s">
        <v>32</v>
      </c>
      <c r="F16" s="30"/>
      <c r="G16" s="27" t="s">
        <v>28</v>
      </c>
      <c r="H16" s="29" t="s">
        <v>29</v>
      </c>
      <c r="I16" s="31"/>
      <c r="J16" s="33" t="s">
        <v>30</v>
      </c>
      <c r="K16" s="33" t="s">
        <v>30</v>
      </c>
      <c r="L16" s="33" t="s">
        <v>30</v>
      </c>
      <c r="M16" s="33" t="s">
        <v>30</v>
      </c>
      <c r="N16" s="33" t="s">
        <v>30</v>
      </c>
      <c r="O16" s="33" t="s">
        <v>30</v>
      </c>
      <c r="P16" s="33" t="s">
        <v>30</v>
      </c>
      <c r="Q16" s="33" t="s">
        <v>30</v>
      </c>
      <c r="R16" s="33" t="s">
        <v>30</v>
      </c>
      <c r="S16" s="33" t="s">
        <v>30</v>
      </c>
      <c r="T16" s="33" t="s">
        <v>30</v>
      </c>
    </row>
    <row r="17" spans="1:21" x14ac:dyDescent="0.25">
      <c r="A17" s="27" t="s">
        <v>20</v>
      </c>
      <c r="B17" s="29" t="s">
        <v>22</v>
      </c>
      <c r="C17" s="35" t="s">
        <v>33</v>
      </c>
      <c r="D17" s="40" t="s">
        <v>46</v>
      </c>
      <c r="E17" s="30" t="s">
        <v>47</v>
      </c>
      <c r="F17" s="30"/>
      <c r="G17" s="27" t="s">
        <v>28</v>
      </c>
      <c r="H17" s="29" t="s">
        <v>29</v>
      </c>
      <c r="I17" s="31"/>
      <c r="J17" s="33"/>
      <c r="K17" s="33"/>
      <c r="L17" s="33"/>
      <c r="M17" s="33" t="s">
        <v>30</v>
      </c>
      <c r="N17" s="33" t="s">
        <v>30</v>
      </c>
      <c r="O17" s="33" t="s">
        <v>30</v>
      </c>
      <c r="P17" s="33" t="s">
        <v>30</v>
      </c>
      <c r="Q17" s="33" t="s">
        <v>30</v>
      </c>
      <c r="R17" s="33" t="s">
        <v>30</v>
      </c>
      <c r="S17" s="33" t="s">
        <v>30</v>
      </c>
      <c r="T17" s="33" t="s">
        <v>30</v>
      </c>
    </row>
    <row r="18" spans="1:21" x14ac:dyDescent="0.25">
      <c r="A18" s="40" t="s">
        <v>20</v>
      </c>
      <c r="B18" s="29" t="s">
        <v>22</v>
      </c>
      <c r="C18" s="35" t="s">
        <v>33</v>
      </c>
      <c r="D18" s="40" t="s">
        <v>46</v>
      </c>
      <c r="E18" s="30" t="s">
        <v>47</v>
      </c>
      <c r="F18" s="30"/>
      <c r="G18" s="40" t="s">
        <v>28</v>
      </c>
      <c r="H18" s="29" t="s">
        <v>29</v>
      </c>
      <c r="I18" s="31"/>
      <c r="J18" s="33"/>
      <c r="K18" s="33"/>
      <c r="L18" s="33"/>
      <c r="M18" s="33" t="s">
        <v>30</v>
      </c>
      <c r="N18" s="33" t="s">
        <v>30</v>
      </c>
      <c r="O18" s="33" t="s">
        <v>30</v>
      </c>
      <c r="P18" s="33" t="s">
        <v>30</v>
      </c>
      <c r="Q18" s="33" t="s">
        <v>30</v>
      </c>
      <c r="R18" s="33" t="s">
        <v>30</v>
      </c>
      <c r="S18" s="33" t="s">
        <v>30</v>
      </c>
      <c r="T18" s="33" t="s">
        <v>30</v>
      </c>
    </row>
    <row r="19" spans="1:21" ht="30" x14ac:dyDescent="0.25">
      <c r="A19" s="27" t="s">
        <v>23</v>
      </c>
      <c r="B19" s="29" t="s">
        <v>42</v>
      </c>
      <c r="C19" s="45" t="s">
        <v>49</v>
      </c>
      <c r="D19" s="46" t="s">
        <v>53</v>
      </c>
      <c r="E19" s="37"/>
      <c r="G19" s="27" t="s">
        <v>28</v>
      </c>
      <c r="H19" s="29" t="s">
        <v>29</v>
      </c>
      <c r="I19" s="31"/>
      <c r="J19" s="33" t="s">
        <v>30</v>
      </c>
      <c r="K19" s="33" t="s">
        <v>30</v>
      </c>
      <c r="L19" s="33" t="s">
        <v>30</v>
      </c>
      <c r="M19" s="33" t="s">
        <v>30</v>
      </c>
      <c r="N19" s="33" t="s">
        <v>30</v>
      </c>
      <c r="O19" s="33" t="s">
        <v>30</v>
      </c>
      <c r="P19" s="33" t="s">
        <v>30</v>
      </c>
      <c r="Q19" s="33" t="s">
        <v>30</v>
      </c>
      <c r="R19" s="33" t="s">
        <v>30</v>
      </c>
      <c r="S19" s="33" t="s">
        <v>30</v>
      </c>
      <c r="T19" s="33" t="s">
        <v>30</v>
      </c>
    </row>
    <row r="20" spans="1:21" x14ac:dyDescent="0.25">
      <c r="A20" s="40" t="s">
        <v>20</v>
      </c>
      <c r="B20" s="47" t="s">
        <v>54</v>
      </c>
      <c r="C20" s="48" t="s">
        <v>25</v>
      </c>
      <c r="D20" s="48" t="s">
        <v>55</v>
      </c>
      <c r="E20" s="48" t="s">
        <v>56</v>
      </c>
      <c r="F20" s="48"/>
      <c r="G20" s="48" t="s">
        <v>28</v>
      </c>
      <c r="H20" s="47" t="s">
        <v>29</v>
      </c>
      <c r="I20" s="31"/>
      <c r="J20" s="33"/>
      <c r="K20" s="33"/>
      <c r="L20" s="33"/>
      <c r="M20" s="33"/>
      <c r="N20" s="33"/>
      <c r="O20" s="33"/>
      <c r="P20" s="33"/>
      <c r="Q20" s="33"/>
      <c r="R20" s="33"/>
      <c r="S20" s="33"/>
      <c r="T20" s="33"/>
    </row>
    <row r="21" spans="1:21" x14ac:dyDescent="0.25">
      <c r="A21" s="40" t="s">
        <v>20</v>
      </c>
      <c r="B21" s="47" t="s">
        <v>54</v>
      </c>
      <c r="C21" s="48" t="s">
        <v>33</v>
      </c>
      <c r="D21" s="48" t="s">
        <v>26</v>
      </c>
      <c r="E21" s="48" t="s">
        <v>57</v>
      </c>
      <c r="F21" s="48"/>
      <c r="G21" s="48" t="s">
        <v>28</v>
      </c>
      <c r="H21" s="47" t="s">
        <v>29</v>
      </c>
      <c r="I21" s="31"/>
      <c r="J21" s="33"/>
      <c r="K21" s="33"/>
      <c r="L21" s="33"/>
      <c r="M21" s="33"/>
      <c r="N21" s="33"/>
      <c r="O21" s="33"/>
      <c r="P21" s="33"/>
      <c r="Q21" s="33"/>
      <c r="R21" s="33"/>
      <c r="S21" s="33"/>
      <c r="T21" s="33"/>
    </row>
    <row r="22" spans="1:21" x14ac:dyDescent="0.25">
      <c r="A22" s="40" t="s">
        <v>20</v>
      </c>
      <c r="B22" s="47" t="s">
        <v>54</v>
      </c>
      <c r="C22" s="48" t="s">
        <v>33</v>
      </c>
      <c r="D22" s="48" t="s">
        <v>34</v>
      </c>
      <c r="E22" s="48" t="s">
        <v>58</v>
      </c>
      <c r="F22" s="48"/>
      <c r="G22" s="48" t="s">
        <v>28</v>
      </c>
      <c r="H22" s="47" t="s">
        <v>29</v>
      </c>
      <c r="I22" s="31"/>
      <c r="J22" s="33"/>
      <c r="K22" s="33"/>
      <c r="L22" s="33"/>
      <c r="M22" s="33"/>
      <c r="N22" s="33"/>
      <c r="O22" s="33"/>
      <c r="P22" s="33"/>
      <c r="Q22" s="33"/>
      <c r="R22" s="33"/>
      <c r="S22" s="33"/>
      <c r="T22" s="33"/>
    </row>
    <row r="23" spans="1:21" x14ac:dyDescent="0.25">
      <c r="A23" s="40" t="s">
        <v>20</v>
      </c>
      <c r="B23" s="47" t="s">
        <v>54</v>
      </c>
      <c r="C23" s="48" t="s">
        <v>33</v>
      </c>
      <c r="D23" s="48" t="s">
        <v>26</v>
      </c>
      <c r="E23" s="48" t="s">
        <v>59</v>
      </c>
      <c r="F23" s="48"/>
      <c r="G23" s="48" t="s">
        <v>28</v>
      </c>
      <c r="H23" s="47" t="s">
        <v>29</v>
      </c>
      <c r="I23" s="31"/>
      <c r="J23" s="33"/>
      <c r="K23" s="33"/>
      <c r="L23" s="33"/>
      <c r="M23" s="33"/>
      <c r="N23" s="33"/>
      <c r="O23" s="33"/>
      <c r="P23" s="33"/>
      <c r="Q23" s="33"/>
      <c r="R23" s="33"/>
      <c r="S23" s="33"/>
      <c r="T23" s="33"/>
    </row>
    <row r="24" spans="1:21" x14ac:dyDescent="0.25">
      <c r="A24" s="40" t="s">
        <v>20</v>
      </c>
      <c r="B24" s="47" t="s">
        <v>54</v>
      </c>
      <c r="C24" s="48" t="s">
        <v>60</v>
      </c>
      <c r="D24" s="48" t="s">
        <v>61</v>
      </c>
      <c r="E24" s="48" t="s">
        <v>62</v>
      </c>
      <c r="F24" s="48"/>
      <c r="G24" s="48" t="s">
        <v>28</v>
      </c>
      <c r="H24" s="47" t="s">
        <v>29</v>
      </c>
      <c r="I24" s="31"/>
      <c r="J24" s="33"/>
      <c r="K24" s="33"/>
      <c r="L24" s="33"/>
      <c r="M24" s="33"/>
      <c r="N24" s="33"/>
      <c r="O24" s="33"/>
      <c r="P24" s="33"/>
      <c r="Q24" s="33"/>
      <c r="R24" s="33"/>
      <c r="S24" s="33"/>
      <c r="T24" s="33"/>
    </row>
    <row r="25" spans="1:21" x14ac:dyDescent="0.25">
      <c r="A25" s="49" t="s">
        <v>63</v>
      </c>
      <c r="B25" s="48"/>
      <c r="C25" s="48"/>
      <c r="D25" s="48"/>
      <c r="E25" s="48"/>
      <c r="F25" s="48"/>
      <c r="G25" s="48"/>
      <c r="H25" s="48"/>
      <c r="I25" s="31"/>
      <c r="J25" s="33"/>
      <c r="K25" s="33"/>
      <c r="L25" s="33"/>
      <c r="M25" s="33"/>
      <c r="N25" s="33"/>
      <c r="O25" s="33"/>
      <c r="P25" s="33"/>
      <c r="Q25" s="33"/>
      <c r="R25" s="33"/>
      <c r="S25" s="33"/>
      <c r="T25" s="33"/>
    </row>
    <row r="26" spans="1:21" x14ac:dyDescent="0.25">
      <c r="A26" s="50"/>
      <c r="B26" s="51"/>
      <c r="C26" s="50"/>
      <c r="D26" s="50"/>
      <c r="E26" s="50"/>
      <c r="F26" s="50"/>
      <c r="G26" s="50"/>
      <c r="H26" s="50"/>
      <c r="I26" s="52">
        <f t="shared" ref="I26:T26" si="0">COUNTA(I6:I19)</f>
        <v>0</v>
      </c>
      <c r="J26" s="52">
        <f t="shared" si="0"/>
        <v>6</v>
      </c>
      <c r="K26" s="52">
        <f t="shared" si="0"/>
        <v>12</v>
      </c>
      <c r="L26" s="52">
        <f t="shared" si="0"/>
        <v>12</v>
      </c>
      <c r="M26" s="52">
        <f t="shared" si="0"/>
        <v>14</v>
      </c>
      <c r="N26" s="52">
        <f t="shared" si="0"/>
        <v>14</v>
      </c>
      <c r="O26" s="52">
        <f t="shared" si="0"/>
        <v>14</v>
      </c>
      <c r="P26" s="52">
        <f t="shared" si="0"/>
        <v>14</v>
      </c>
      <c r="Q26" s="52">
        <f t="shared" si="0"/>
        <v>14</v>
      </c>
      <c r="R26" s="52">
        <f t="shared" si="0"/>
        <v>14</v>
      </c>
      <c r="S26" s="52">
        <f t="shared" si="0"/>
        <v>14</v>
      </c>
      <c r="T26" s="52">
        <f t="shared" si="0"/>
        <v>14</v>
      </c>
      <c r="U26" s="53">
        <f>SUM(U6:U25)</f>
        <v>0</v>
      </c>
    </row>
    <row r="27" spans="1:21" x14ac:dyDescent="0.25">
      <c r="B27" s="5"/>
      <c r="C27" s="5"/>
      <c r="D27" s="5"/>
      <c r="E27" s="5"/>
      <c r="F27" s="5"/>
      <c r="G27" s="5"/>
      <c r="H27" s="5"/>
      <c r="I27" s="5"/>
      <c r="J27" s="5"/>
      <c r="K27" s="5"/>
      <c r="L27" s="5"/>
      <c r="M27" s="5"/>
      <c r="N27" s="5"/>
      <c r="O27" s="5"/>
      <c r="P27" s="5"/>
      <c r="Q27" s="5"/>
      <c r="R27" s="5"/>
      <c r="S27" s="5"/>
      <c r="T27" s="5"/>
    </row>
    <row r="28" spans="1:21" ht="15" customHeight="1" x14ac:dyDescent="0.3">
      <c r="A28" s="7" t="s">
        <v>67</v>
      </c>
      <c r="B28" s="5"/>
      <c r="C28" s="5"/>
      <c r="D28" s="5"/>
      <c r="E28" s="5"/>
      <c r="F28" s="5"/>
      <c r="G28" s="5"/>
      <c r="H28" s="5"/>
      <c r="I28" s="790">
        <v>2019</v>
      </c>
      <c r="J28" s="789"/>
      <c r="K28" s="787">
        <v>2020</v>
      </c>
      <c r="L28" s="788"/>
      <c r="M28" s="788"/>
      <c r="N28" s="789"/>
      <c r="O28" s="787">
        <v>2021</v>
      </c>
      <c r="P28" s="788"/>
      <c r="Q28" s="788"/>
      <c r="R28" s="789"/>
      <c r="S28" s="790">
        <v>2022</v>
      </c>
      <c r="T28" s="789"/>
    </row>
    <row r="29" spans="1:21" x14ac:dyDescent="0.25">
      <c r="A29" s="54" t="s">
        <v>8</v>
      </c>
      <c r="B29" s="54" t="s">
        <v>11</v>
      </c>
      <c r="C29" s="54" t="s">
        <v>71</v>
      </c>
      <c r="D29" s="791" t="s">
        <v>72</v>
      </c>
      <c r="E29" s="792"/>
      <c r="F29" s="792"/>
      <c r="G29" s="793"/>
      <c r="H29" s="55" t="s">
        <v>73</v>
      </c>
      <c r="I29" s="18" t="s">
        <v>10</v>
      </c>
      <c r="J29" s="20" t="s">
        <v>17</v>
      </c>
      <c r="K29" s="22" t="s">
        <v>18</v>
      </c>
      <c r="L29" s="18" t="s">
        <v>19</v>
      </c>
      <c r="M29" s="18" t="s">
        <v>10</v>
      </c>
      <c r="N29" s="20" t="s">
        <v>17</v>
      </c>
      <c r="O29" s="22" t="s">
        <v>18</v>
      </c>
      <c r="P29" s="18" t="s">
        <v>19</v>
      </c>
      <c r="Q29" s="18" t="s">
        <v>10</v>
      </c>
      <c r="R29" s="20" t="s">
        <v>17</v>
      </c>
      <c r="S29" s="22" t="s">
        <v>18</v>
      </c>
      <c r="T29" s="18" t="s">
        <v>19</v>
      </c>
    </row>
    <row r="30" spans="1:21" x14ac:dyDescent="0.25">
      <c r="A30" s="40" t="s">
        <v>74</v>
      </c>
    </row>
    <row r="31" spans="1:21" x14ac:dyDescent="0.25">
      <c r="A31" s="40"/>
    </row>
    <row r="32" spans="1:21" x14ac:dyDescent="0.25">
      <c r="I32" s="56"/>
      <c r="J32" s="57"/>
      <c r="K32" s="57"/>
      <c r="L32" s="57"/>
      <c r="M32" s="57"/>
      <c r="N32" s="57"/>
      <c r="O32" s="57"/>
      <c r="P32" s="57"/>
      <c r="Q32" s="57"/>
      <c r="R32" s="57"/>
      <c r="S32" s="57"/>
      <c r="T32" s="57"/>
    </row>
    <row r="33" spans="1:20" x14ac:dyDescent="0.25">
      <c r="A33" s="40"/>
      <c r="B33" s="40"/>
      <c r="C33" s="40"/>
      <c r="D33" s="794"/>
      <c r="E33" s="795"/>
      <c r="F33" s="795"/>
      <c r="G33" s="796"/>
      <c r="H33" s="58"/>
      <c r="I33" s="56"/>
      <c r="J33" s="59"/>
      <c r="K33" s="57"/>
      <c r="L33" s="57"/>
      <c r="M33" s="57"/>
      <c r="N33" s="57"/>
      <c r="O33" s="57"/>
      <c r="P33" s="57"/>
      <c r="Q33" s="57"/>
      <c r="R33" s="57"/>
      <c r="S33" s="57"/>
      <c r="T33" s="57"/>
    </row>
    <row r="34" spans="1:20" x14ac:dyDescent="0.25">
      <c r="A34" s="40"/>
      <c r="B34" s="40"/>
      <c r="C34" s="40"/>
      <c r="D34" s="794"/>
      <c r="E34" s="795"/>
      <c r="F34" s="795"/>
      <c r="G34" s="796"/>
      <c r="H34" s="58"/>
      <c r="I34" s="56"/>
      <c r="J34" s="59"/>
      <c r="K34" s="57"/>
      <c r="L34" s="57"/>
      <c r="M34" s="57"/>
      <c r="N34" s="57"/>
      <c r="O34" s="57"/>
      <c r="P34" s="57"/>
      <c r="Q34" s="57"/>
      <c r="R34" s="57"/>
      <c r="S34" s="57"/>
      <c r="T34" s="57"/>
    </row>
    <row r="35" spans="1:20" x14ac:dyDescent="0.25">
      <c r="A35" s="40"/>
      <c r="B35" s="40"/>
      <c r="C35" s="40"/>
      <c r="D35" s="794"/>
      <c r="E35" s="795"/>
      <c r="F35" s="795"/>
      <c r="G35" s="796"/>
      <c r="H35" s="58"/>
      <c r="I35" s="56"/>
      <c r="J35" s="59"/>
      <c r="K35" s="57"/>
      <c r="L35" s="57"/>
      <c r="M35" s="57"/>
      <c r="N35" s="57"/>
      <c r="O35" s="57"/>
      <c r="P35" s="57"/>
      <c r="Q35" s="57"/>
      <c r="R35" s="57"/>
      <c r="S35" s="57"/>
      <c r="T35" s="57"/>
    </row>
    <row r="36" spans="1:20" x14ac:dyDescent="0.25">
      <c r="A36" s="40"/>
      <c r="B36" s="40"/>
      <c r="C36" s="40"/>
      <c r="D36" s="794"/>
      <c r="E36" s="795"/>
      <c r="F36" s="795"/>
      <c r="G36" s="796"/>
      <c r="H36" s="58"/>
      <c r="I36" s="56"/>
      <c r="J36" s="59"/>
      <c r="K36" s="57"/>
      <c r="L36" s="57"/>
      <c r="M36" s="57"/>
      <c r="N36" s="57"/>
      <c r="O36" s="57"/>
      <c r="P36" s="57"/>
      <c r="Q36" s="57"/>
      <c r="R36" s="57"/>
      <c r="S36" s="57"/>
      <c r="T36" s="57"/>
    </row>
    <row r="37" spans="1:20" x14ac:dyDescent="0.25">
      <c r="A37" s="40"/>
      <c r="B37" s="40"/>
      <c r="C37" s="60"/>
      <c r="D37" s="794"/>
      <c r="E37" s="795"/>
      <c r="F37" s="795"/>
      <c r="G37" s="796"/>
      <c r="H37" s="58"/>
      <c r="I37" s="63"/>
      <c r="J37" s="57"/>
      <c r="K37" s="57"/>
      <c r="L37" s="57"/>
      <c r="M37" s="57"/>
      <c r="N37" s="57"/>
      <c r="O37" s="57"/>
      <c r="P37" s="57"/>
      <c r="Q37" s="57"/>
      <c r="R37" s="57"/>
      <c r="S37" s="57"/>
      <c r="T37" s="57"/>
    </row>
    <row r="38" spans="1:20" x14ac:dyDescent="0.25">
      <c r="A38" s="40"/>
      <c r="B38" s="40"/>
      <c r="C38" s="60"/>
      <c r="D38" s="794"/>
      <c r="E38" s="795"/>
      <c r="F38" s="795"/>
      <c r="G38" s="796"/>
      <c r="H38" s="58"/>
      <c r="I38" s="63"/>
      <c r="J38" s="57"/>
      <c r="K38" s="57"/>
      <c r="L38" s="57"/>
      <c r="M38" s="57"/>
      <c r="N38" s="57"/>
      <c r="O38" s="57"/>
      <c r="P38" s="57"/>
      <c r="Q38" s="57"/>
      <c r="R38" s="57"/>
      <c r="S38" s="57"/>
      <c r="T38" s="57"/>
    </row>
    <row r="39" spans="1:20" x14ac:dyDescent="0.25">
      <c r="A39" s="40"/>
      <c r="B39" s="40"/>
      <c r="C39" s="60"/>
      <c r="D39" s="794"/>
      <c r="E39" s="795"/>
      <c r="F39" s="795"/>
      <c r="G39" s="796"/>
      <c r="H39" s="58"/>
      <c r="I39" s="63"/>
      <c r="J39" s="57"/>
      <c r="K39" s="57"/>
      <c r="L39" s="57"/>
      <c r="M39" s="57"/>
      <c r="N39" s="57"/>
      <c r="O39" s="57"/>
      <c r="P39" s="57"/>
      <c r="Q39" s="57"/>
      <c r="R39" s="57"/>
      <c r="S39" s="57"/>
      <c r="T39" s="57"/>
    </row>
    <row r="40" spans="1:20" x14ac:dyDescent="0.25">
      <c r="A40" s="40"/>
      <c r="B40" s="40"/>
      <c r="C40" s="40"/>
      <c r="D40" s="794"/>
      <c r="E40" s="795"/>
      <c r="F40" s="795"/>
      <c r="G40" s="796"/>
      <c r="H40" s="58"/>
      <c r="I40" s="63"/>
      <c r="J40" s="57"/>
      <c r="K40" s="57"/>
      <c r="L40" s="57"/>
      <c r="M40" s="57"/>
      <c r="N40" s="57"/>
      <c r="O40" s="57"/>
      <c r="P40" s="57"/>
      <c r="Q40" s="57"/>
      <c r="R40" s="57"/>
      <c r="S40" s="57"/>
      <c r="T40" s="57"/>
    </row>
    <row r="41" spans="1:20" x14ac:dyDescent="0.25">
      <c r="A41" s="66"/>
      <c r="B41" s="40"/>
      <c r="C41" s="40"/>
      <c r="D41" s="794"/>
      <c r="E41" s="795"/>
      <c r="F41" s="795"/>
      <c r="G41" s="796"/>
      <c r="H41" s="68"/>
      <c r="I41" s="69"/>
      <c r="J41" s="70"/>
      <c r="K41" s="70"/>
      <c r="L41" s="70"/>
      <c r="M41" s="70"/>
      <c r="N41" s="70"/>
      <c r="O41" s="70"/>
      <c r="P41" s="70"/>
      <c r="Q41" s="70"/>
      <c r="R41" s="70"/>
      <c r="S41" s="70"/>
      <c r="T41" s="70"/>
    </row>
    <row r="42" spans="1:20" x14ac:dyDescent="0.25">
      <c r="A42" s="66"/>
      <c r="B42" s="66"/>
      <c r="C42" s="66"/>
      <c r="D42" s="794"/>
      <c r="E42" s="795"/>
      <c r="F42" s="795"/>
      <c r="G42" s="796"/>
      <c r="H42" s="72"/>
      <c r="I42" s="74"/>
      <c r="J42" s="75"/>
      <c r="K42" s="75"/>
      <c r="L42" s="75"/>
      <c r="M42" s="75"/>
      <c r="N42" s="75"/>
      <c r="O42" s="75"/>
      <c r="P42" s="75"/>
      <c r="Q42" s="75"/>
      <c r="R42" s="75"/>
      <c r="S42" s="75"/>
      <c r="T42" s="75"/>
    </row>
    <row r="43" spans="1:20" x14ac:dyDescent="0.25">
      <c r="H43" s="78">
        <f>SUM(H30:H42)</f>
        <v>0</v>
      </c>
      <c r="I43" s="80">
        <f t="shared" ref="I43:T43" si="1">SUM(I30:I36)</f>
        <v>0</v>
      </c>
      <c r="J43" s="78">
        <f t="shared" si="1"/>
        <v>0</v>
      </c>
      <c r="K43" s="78">
        <f t="shared" si="1"/>
        <v>0</v>
      </c>
      <c r="L43" s="78">
        <f t="shared" si="1"/>
        <v>0</v>
      </c>
      <c r="M43" s="78">
        <f t="shared" si="1"/>
        <v>0</v>
      </c>
      <c r="N43" s="78">
        <f t="shared" si="1"/>
        <v>0</v>
      </c>
      <c r="O43" s="78">
        <f t="shared" si="1"/>
        <v>0</v>
      </c>
      <c r="P43" s="78">
        <f t="shared" si="1"/>
        <v>0</v>
      </c>
      <c r="Q43" s="78">
        <f t="shared" si="1"/>
        <v>0</v>
      </c>
      <c r="R43" s="78">
        <f t="shared" si="1"/>
        <v>0</v>
      </c>
      <c r="S43" s="78">
        <f t="shared" si="1"/>
        <v>0</v>
      </c>
      <c r="T43" s="78">
        <f t="shared" si="1"/>
        <v>0</v>
      </c>
    </row>
  </sheetData>
  <mergeCells count="19">
    <mergeCell ref="D41:G41"/>
    <mergeCell ref="D42:G42"/>
    <mergeCell ref="D37:G37"/>
    <mergeCell ref="D38:G38"/>
    <mergeCell ref="D29:G29"/>
    <mergeCell ref="D36:G36"/>
    <mergeCell ref="D33:G33"/>
    <mergeCell ref="D35:G35"/>
    <mergeCell ref="D34:G34"/>
    <mergeCell ref="D39:G39"/>
    <mergeCell ref="D40:G40"/>
    <mergeCell ref="I28:J28"/>
    <mergeCell ref="O3:R3"/>
    <mergeCell ref="S3:T3"/>
    <mergeCell ref="K3:N3"/>
    <mergeCell ref="I3:J3"/>
    <mergeCell ref="K28:N28"/>
    <mergeCell ref="O28:R28"/>
    <mergeCell ref="S28:T28"/>
  </mergeCells>
  <pageMargins left="0.7" right="0.7" top="0.75" bottom="0.75" header="0" footer="0"/>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FF00"/>
  </sheetPr>
  <dimension ref="A1:Z996"/>
  <sheetViews>
    <sheetView showGridLines="0" zoomScale="80" zoomScaleNormal="80" workbookViewId="0"/>
  </sheetViews>
  <sheetFormatPr defaultColWidth="14.42578125" defaultRowHeight="15" customHeight="1" outlineLevelRow="1" x14ac:dyDescent="0.25"/>
  <cols>
    <col min="1" max="1" width="17.42578125" customWidth="1"/>
    <col min="2" max="2" width="46.28515625" customWidth="1"/>
    <col min="3" max="4" width="26" customWidth="1"/>
    <col min="5" max="7" width="17.140625" customWidth="1"/>
    <col min="8" max="8" width="50.42578125" customWidth="1"/>
    <col min="9" max="20" width="9.85546875" customWidth="1"/>
    <col min="21" max="21" width="7.85546875" customWidth="1"/>
    <col min="22" max="22" width="16.28515625" customWidth="1"/>
    <col min="23" max="23" width="18.28515625" customWidth="1"/>
    <col min="24" max="24" width="15.85546875" customWidth="1"/>
    <col min="25" max="25" width="17.5703125" customWidth="1"/>
    <col min="26" max="29" width="15.85546875" customWidth="1"/>
  </cols>
  <sheetData>
    <row r="1" spans="1:26" ht="15" customHeight="1" x14ac:dyDescent="0.35">
      <c r="A1" s="1" t="s">
        <v>98</v>
      </c>
      <c r="B1" s="84"/>
    </row>
    <row r="2" spans="1:26" x14ac:dyDescent="0.25">
      <c r="B2" s="84"/>
      <c r="J2" s="5"/>
      <c r="K2" s="6"/>
      <c r="L2" s="5"/>
      <c r="M2" s="5"/>
      <c r="N2" s="5"/>
      <c r="O2" s="6"/>
      <c r="P2" s="5"/>
      <c r="Q2" s="5"/>
      <c r="R2" s="5"/>
      <c r="S2" s="6"/>
      <c r="T2" s="5"/>
      <c r="U2" s="5"/>
      <c r="V2" s="5"/>
    </row>
    <row r="3" spans="1:26" ht="15" customHeight="1" x14ac:dyDescent="0.3">
      <c r="A3" s="7" t="s">
        <v>4</v>
      </c>
      <c r="B3" s="84"/>
      <c r="I3" s="790">
        <v>2019</v>
      </c>
      <c r="J3" s="789"/>
      <c r="K3" s="787">
        <v>2020</v>
      </c>
      <c r="L3" s="788"/>
      <c r="M3" s="788"/>
      <c r="N3" s="789"/>
      <c r="O3" s="787">
        <v>2021</v>
      </c>
      <c r="P3" s="788"/>
      <c r="Q3" s="788"/>
      <c r="R3" s="789"/>
      <c r="S3" s="790">
        <v>2022</v>
      </c>
      <c r="T3" s="789"/>
      <c r="U3" s="5"/>
      <c r="V3" s="5"/>
    </row>
    <row r="4" spans="1:26" outlineLevel="1" x14ac:dyDescent="0.25">
      <c r="A4" s="8"/>
      <c r="B4" s="88"/>
      <c r="C4" s="8"/>
      <c r="D4" s="11"/>
      <c r="E4" s="8"/>
      <c r="F4" s="8"/>
      <c r="G4" s="8"/>
      <c r="H4" s="11"/>
      <c r="I4" s="13">
        <v>43647</v>
      </c>
      <c r="J4" s="13">
        <v>43739</v>
      </c>
      <c r="K4" s="13">
        <v>43831</v>
      </c>
      <c r="L4" s="13">
        <v>43922</v>
      </c>
      <c r="M4" s="13">
        <v>44013</v>
      </c>
      <c r="N4" s="13">
        <v>44105</v>
      </c>
      <c r="O4" s="13">
        <v>44197</v>
      </c>
      <c r="P4" s="13">
        <v>44287</v>
      </c>
      <c r="Q4" s="13">
        <v>44378</v>
      </c>
      <c r="R4" s="13">
        <v>44470</v>
      </c>
      <c r="S4" s="13">
        <v>44562</v>
      </c>
      <c r="T4" s="13">
        <v>44652</v>
      </c>
      <c r="U4" s="5"/>
      <c r="V4" s="5"/>
    </row>
    <row r="5" spans="1:26" x14ac:dyDescent="0.25">
      <c r="A5" s="15" t="s">
        <v>8</v>
      </c>
      <c r="B5" s="90" t="s">
        <v>11</v>
      </c>
      <c r="C5" s="15" t="s">
        <v>12</v>
      </c>
      <c r="D5" s="16" t="s">
        <v>13</v>
      </c>
      <c r="E5" s="17" t="s">
        <v>14</v>
      </c>
      <c r="F5" s="17"/>
      <c r="G5" s="17" t="s">
        <v>15</v>
      </c>
      <c r="H5" s="16" t="s">
        <v>16</v>
      </c>
      <c r="I5" s="19" t="s">
        <v>10</v>
      </c>
      <c r="J5" s="21" t="s">
        <v>17</v>
      </c>
      <c r="K5" s="23" t="s">
        <v>18</v>
      </c>
      <c r="L5" s="25" t="s">
        <v>19</v>
      </c>
      <c r="M5" s="25" t="s">
        <v>10</v>
      </c>
      <c r="N5" s="21" t="s">
        <v>17</v>
      </c>
      <c r="O5" s="23" t="s">
        <v>18</v>
      </c>
      <c r="P5" s="25" t="s">
        <v>19</v>
      </c>
      <c r="Q5" s="25" t="s">
        <v>10</v>
      </c>
      <c r="R5" s="21" t="s">
        <v>17</v>
      </c>
      <c r="S5" s="23" t="s">
        <v>18</v>
      </c>
      <c r="T5" s="25" t="s">
        <v>19</v>
      </c>
      <c r="V5" s="28"/>
      <c r="X5" s="28"/>
    </row>
    <row r="6" spans="1:26" x14ac:dyDescent="0.25">
      <c r="A6" s="40"/>
      <c r="B6" s="91" t="s">
        <v>105</v>
      </c>
      <c r="C6" s="92"/>
      <c r="D6" s="93"/>
      <c r="E6" s="93"/>
      <c r="F6" s="94"/>
      <c r="G6" s="94"/>
      <c r="H6" s="95"/>
      <c r="I6" s="96"/>
      <c r="J6" s="98"/>
      <c r="K6" s="98"/>
      <c r="L6" s="98"/>
      <c r="M6" s="98"/>
      <c r="N6" s="98"/>
      <c r="O6" s="98"/>
      <c r="P6" s="98"/>
      <c r="Q6" s="98"/>
      <c r="R6" s="98"/>
      <c r="S6" s="98"/>
      <c r="T6" s="98"/>
      <c r="U6" s="5"/>
      <c r="V6" s="5"/>
    </row>
    <row r="7" spans="1:26" x14ac:dyDescent="0.25">
      <c r="A7" s="40"/>
      <c r="B7" s="100" t="s">
        <v>109</v>
      </c>
      <c r="C7" s="93"/>
      <c r="D7" s="93"/>
      <c r="E7" s="93"/>
      <c r="F7" s="93"/>
      <c r="G7" s="93"/>
      <c r="H7" s="47" t="s">
        <v>29</v>
      </c>
      <c r="I7" s="96"/>
      <c r="J7" s="98"/>
      <c r="K7" s="98"/>
      <c r="L7" s="98"/>
      <c r="M7" s="98"/>
      <c r="N7" s="98"/>
      <c r="O7" s="98"/>
      <c r="P7" s="98"/>
      <c r="Q7" s="98"/>
      <c r="R7" s="98"/>
      <c r="S7" s="98"/>
      <c r="T7" s="98"/>
      <c r="U7" s="28"/>
      <c r="V7" s="5"/>
    </row>
    <row r="8" spans="1:26" x14ac:dyDescent="0.25">
      <c r="A8" s="40"/>
      <c r="B8" s="100" t="s">
        <v>109</v>
      </c>
      <c r="C8" s="93"/>
      <c r="D8" s="93"/>
      <c r="E8" s="93"/>
      <c r="F8" s="93"/>
      <c r="G8" s="93"/>
      <c r="H8" s="47" t="s">
        <v>29</v>
      </c>
      <c r="I8" s="96"/>
      <c r="J8" s="98"/>
      <c r="K8" s="98"/>
      <c r="L8" s="98"/>
      <c r="M8" s="98"/>
      <c r="N8" s="98"/>
      <c r="O8" s="98"/>
      <c r="P8" s="98"/>
      <c r="Q8" s="98"/>
      <c r="R8" s="98"/>
      <c r="S8" s="98"/>
      <c r="T8" s="98"/>
      <c r="U8" s="28"/>
      <c r="V8" s="5"/>
    </row>
    <row r="9" spans="1:26" x14ac:dyDescent="0.25">
      <c r="A9" s="40"/>
      <c r="B9" s="100" t="s">
        <v>109</v>
      </c>
      <c r="C9" s="93"/>
      <c r="D9" s="93"/>
      <c r="E9" s="93"/>
      <c r="F9" s="93"/>
      <c r="G9" s="93"/>
      <c r="H9" s="47" t="s">
        <v>29</v>
      </c>
      <c r="I9" s="96"/>
      <c r="J9" s="98"/>
      <c r="K9" s="98"/>
      <c r="L9" s="98"/>
      <c r="M9" s="98"/>
      <c r="N9" s="98"/>
      <c r="O9" s="98"/>
      <c r="P9" s="98"/>
      <c r="Q9" s="98"/>
      <c r="R9" s="98"/>
      <c r="S9" s="98"/>
      <c r="T9" s="98"/>
      <c r="U9" s="5"/>
      <c r="V9" s="5"/>
    </row>
    <row r="10" spans="1:26" x14ac:dyDescent="0.25">
      <c r="A10" s="40"/>
      <c r="B10" s="100" t="s">
        <v>109</v>
      </c>
      <c r="C10" s="93"/>
      <c r="D10" s="93"/>
      <c r="E10" s="93"/>
      <c r="F10" s="93"/>
      <c r="G10" s="93"/>
      <c r="H10" s="47" t="s">
        <v>29</v>
      </c>
      <c r="I10" s="96"/>
      <c r="J10" s="98"/>
      <c r="K10" s="98"/>
      <c r="L10" s="98"/>
      <c r="M10" s="98"/>
      <c r="N10" s="98"/>
      <c r="O10" s="98"/>
      <c r="P10" s="98"/>
      <c r="Q10" s="98"/>
      <c r="R10" s="98"/>
      <c r="S10" s="98"/>
      <c r="T10" s="98"/>
      <c r="U10" s="5"/>
      <c r="V10" s="5"/>
    </row>
    <row r="11" spans="1:26" x14ac:dyDescent="0.25">
      <c r="A11" s="40"/>
      <c r="B11" s="100" t="s">
        <v>109</v>
      </c>
      <c r="C11" s="93"/>
      <c r="D11" s="93"/>
      <c r="E11" s="93"/>
      <c r="F11" s="93"/>
      <c r="G11" s="93"/>
      <c r="H11" s="47" t="s">
        <v>29</v>
      </c>
      <c r="I11" s="96"/>
      <c r="J11" s="98"/>
      <c r="K11" s="98"/>
      <c r="L11" s="98"/>
      <c r="M11" s="98"/>
      <c r="N11" s="98"/>
      <c r="O11" s="98"/>
      <c r="P11" s="98"/>
      <c r="Q11" s="98"/>
      <c r="R11" s="98"/>
      <c r="S11" s="98"/>
      <c r="T11" s="98"/>
      <c r="U11" s="5"/>
      <c r="V11" s="5"/>
    </row>
    <row r="12" spans="1:26" x14ac:dyDescent="0.25">
      <c r="A12" s="49" t="s">
        <v>63</v>
      </c>
      <c r="B12" s="100" t="s">
        <v>109</v>
      </c>
      <c r="C12" s="48"/>
      <c r="D12" s="48"/>
      <c r="E12" s="48"/>
      <c r="F12" s="48"/>
      <c r="G12" s="48"/>
      <c r="H12" s="48"/>
      <c r="I12" s="96"/>
      <c r="J12" s="98"/>
      <c r="K12" s="98"/>
      <c r="L12" s="98"/>
      <c r="M12" s="98"/>
      <c r="N12" s="98"/>
      <c r="O12" s="98"/>
      <c r="P12" s="98"/>
      <c r="Q12" s="98"/>
      <c r="R12" s="98"/>
      <c r="S12" s="98"/>
      <c r="T12" s="98"/>
      <c r="U12" s="5"/>
      <c r="V12" s="5"/>
    </row>
    <row r="13" spans="1:26" x14ac:dyDescent="0.25">
      <c r="A13" s="50"/>
      <c r="B13" s="100" t="s">
        <v>109</v>
      </c>
      <c r="C13" s="50"/>
      <c r="D13" s="50"/>
      <c r="E13" s="50"/>
      <c r="F13" s="50"/>
      <c r="G13" s="50"/>
      <c r="H13" s="50"/>
      <c r="I13" s="81">
        <f t="shared" ref="I13:T13" si="0">SUM(I6:I12)</f>
        <v>0</v>
      </c>
      <c r="J13" s="82">
        <f t="shared" si="0"/>
        <v>0</v>
      </c>
      <c r="K13" s="82">
        <f t="shared" si="0"/>
        <v>0</v>
      </c>
      <c r="L13" s="82">
        <f t="shared" si="0"/>
        <v>0</v>
      </c>
      <c r="M13" s="82">
        <f t="shared" si="0"/>
        <v>0</v>
      </c>
      <c r="N13" s="82">
        <f t="shared" si="0"/>
        <v>0</v>
      </c>
      <c r="O13" s="82">
        <f t="shared" si="0"/>
        <v>0</v>
      </c>
      <c r="P13" s="82">
        <f t="shared" si="0"/>
        <v>0</v>
      </c>
      <c r="Q13" s="82">
        <f t="shared" si="0"/>
        <v>0</v>
      </c>
      <c r="R13" s="82">
        <f t="shared" si="0"/>
        <v>0</v>
      </c>
      <c r="S13" s="82">
        <f t="shared" si="0"/>
        <v>0</v>
      </c>
      <c r="T13" s="82">
        <f t="shared" si="0"/>
        <v>0</v>
      </c>
      <c r="U13" s="53"/>
      <c r="V13" s="53"/>
      <c r="W13" s="53"/>
      <c r="X13" s="53"/>
      <c r="Y13" s="53"/>
      <c r="Z13" s="53"/>
    </row>
    <row r="14" spans="1:26" x14ac:dyDescent="0.25">
      <c r="B14" s="100" t="s">
        <v>109</v>
      </c>
      <c r="C14" s="5"/>
      <c r="D14" s="5"/>
      <c r="E14" s="5"/>
      <c r="F14" s="5"/>
      <c r="G14" s="5"/>
      <c r="H14" s="5"/>
      <c r="I14" s="5"/>
      <c r="J14" s="5"/>
      <c r="K14" s="5"/>
      <c r="L14" s="5"/>
      <c r="M14" s="5"/>
      <c r="N14" s="5"/>
      <c r="O14" s="5"/>
      <c r="P14" s="5"/>
      <c r="Q14" s="5"/>
      <c r="R14" s="5"/>
      <c r="S14" s="5"/>
      <c r="T14" s="5"/>
    </row>
    <row r="15" spans="1:26" ht="15" customHeight="1" x14ac:dyDescent="0.3">
      <c r="A15" s="7" t="s">
        <v>67</v>
      </c>
      <c r="B15" s="100" t="s">
        <v>109</v>
      </c>
      <c r="C15" s="5"/>
      <c r="D15" s="5"/>
      <c r="E15" s="5"/>
      <c r="F15" s="5"/>
      <c r="G15" s="5"/>
      <c r="H15" s="5"/>
      <c r="I15" s="790">
        <v>2019</v>
      </c>
      <c r="J15" s="789"/>
      <c r="K15" s="787">
        <v>2020</v>
      </c>
      <c r="L15" s="788"/>
      <c r="M15" s="788"/>
      <c r="N15" s="789"/>
      <c r="O15" s="787">
        <v>2021</v>
      </c>
      <c r="P15" s="788"/>
      <c r="Q15" s="788"/>
      <c r="R15" s="789"/>
      <c r="S15" s="790">
        <v>2022</v>
      </c>
      <c r="T15" s="789"/>
    </row>
    <row r="16" spans="1:26" x14ac:dyDescent="0.25">
      <c r="A16" s="54" t="s">
        <v>8</v>
      </c>
      <c r="B16" s="110" t="s">
        <v>11</v>
      </c>
      <c r="C16" s="54" t="s">
        <v>71</v>
      </c>
      <c r="D16" s="791" t="s">
        <v>72</v>
      </c>
      <c r="E16" s="792"/>
      <c r="F16" s="792"/>
      <c r="G16" s="793"/>
      <c r="H16" s="55" t="s">
        <v>73</v>
      </c>
      <c r="I16" s="18" t="s">
        <v>10</v>
      </c>
      <c r="J16" s="20" t="s">
        <v>17</v>
      </c>
      <c r="K16" s="22" t="s">
        <v>18</v>
      </c>
      <c r="L16" s="18" t="s">
        <v>19</v>
      </c>
      <c r="M16" s="18" t="s">
        <v>10</v>
      </c>
      <c r="N16" s="20" t="s">
        <v>17</v>
      </c>
      <c r="O16" s="22" t="s">
        <v>18</v>
      </c>
      <c r="P16" s="18" t="s">
        <v>19</v>
      </c>
      <c r="Q16" s="18" t="s">
        <v>10</v>
      </c>
      <c r="R16" s="20" t="s">
        <v>17</v>
      </c>
      <c r="S16" s="22" t="s">
        <v>18</v>
      </c>
      <c r="T16" s="18" t="s">
        <v>19</v>
      </c>
    </row>
    <row r="17" spans="1:20" x14ac:dyDescent="0.25">
      <c r="A17" s="40"/>
      <c r="B17" s="113"/>
      <c r="C17" s="40"/>
      <c r="D17" s="794"/>
      <c r="E17" s="795"/>
      <c r="F17" s="795"/>
      <c r="G17" s="796"/>
      <c r="H17" s="89"/>
      <c r="I17" s="56"/>
      <c r="J17" s="56"/>
      <c r="K17" s="56"/>
      <c r="L17" s="56"/>
      <c r="M17" s="56"/>
      <c r="N17" s="56"/>
      <c r="O17" s="56"/>
      <c r="P17" s="56"/>
      <c r="Q17" s="56"/>
      <c r="R17" s="56"/>
      <c r="S17" s="56"/>
      <c r="T17" s="56"/>
    </row>
    <row r="18" spans="1:20" x14ac:dyDescent="0.25">
      <c r="A18" s="40" t="s">
        <v>23</v>
      </c>
      <c r="B18" s="113" t="s">
        <v>42</v>
      </c>
      <c r="C18" s="40" t="s">
        <v>110</v>
      </c>
      <c r="D18" s="794" t="s">
        <v>112</v>
      </c>
      <c r="E18" s="795"/>
      <c r="F18" s="795"/>
      <c r="G18" s="796"/>
      <c r="H18" s="58"/>
      <c r="I18" s="56"/>
      <c r="J18" s="57"/>
      <c r="K18" s="57"/>
      <c r="L18" s="57"/>
      <c r="M18" s="57"/>
      <c r="N18" s="57"/>
      <c r="O18" s="57"/>
      <c r="P18" s="57"/>
      <c r="Q18" s="57"/>
      <c r="R18" s="57"/>
      <c r="S18" s="57"/>
      <c r="T18" s="57"/>
    </row>
    <row r="19" spans="1:20" x14ac:dyDescent="0.25">
      <c r="A19" s="40"/>
      <c r="B19" s="113"/>
      <c r="C19" s="40"/>
      <c r="D19" s="794"/>
      <c r="E19" s="795"/>
      <c r="F19" s="795"/>
      <c r="G19" s="796"/>
      <c r="H19" s="58"/>
      <c r="I19" s="56"/>
      <c r="J19" s="59"/>
      <c r="K19" s="57"/>
      <c r="L19" s="57"/>
      <c r="M19" s="57"/>
      <c r="N19" s="57"/>
      <c r="O19" s="57"/>
      <c r="P19" s="57"/>
      <c r="Q19" s="57"/>
      <c r="R19" s="57"/>
      <c r="S19" s="57"/>
      <c r="T19" s="57"/>
    </row>
    <row r="20" spans="1:20" x14ac:dyDescent="0.25">
      <c r="A20" s="40"/>
      <c r="B20" s="113"/>
      <c r="C20" s="40"/>
      <c r="D20" s="794"/>
      <c r="E20" s="795"/>
      <c r="F20" s="795"/>
      <c r="G20" s="796"/>
      <c r="H20" s="58"/>
      <c r="I20" s="56"/>
      <c r="J20" s="59"/>
      <c r="K20" s="57"/>
      <c r="L20" s="57"/>
      <c r="M20" s="57"/>
      <c r="N20" s="57"/>
      <c r="O20" s="57"/>
      <c r="P20" s="57"/>
      <c r="Q20" s="57"/>
      <c r="R20" s="57"/>
      <c r="S20" s="57"/>
      <c r="T20" s="57"/>
    </row>
    <row r="21" spans="1:20" x14ac:dyDescent="0.25">
      <c r="A21" s="40"/>
      <c r="B21" s="113"/>
      <c r="C21" s="40"/>
      <c r="D21" s="794"/>
      <c r="E21" s="795"/>
      <c r="F21" s="795"/>
      <c r="G21" s="796"/>
      <c r="H21" s="58"/>
      <c r="I21" s="56"/>
      <c r="J21" s="59"/>
      <c r="K21" s="57"/>
      <c r="L21" s="57"/>
      <c r="M21" s="57"/>
      <c r="N21" s="57"/>
      <c r="O21" s="57"/>
      <c r="P21" s="57"/>
      <c r="Q21" s="57"/>
      <c r="R21" s="57"/>
      <c r="S21" s="57"/>
      <c r="T21" s="57"/>
    </row>
    <row r="22" spans="1:20" x14ac:dyDescent="0.25">
      <c r="A22" s="40"/>
      <c r="B22" s="113"/>
      <c r="C22" s="40"/>
      <c r="D22" s="794"/>
      <c r="E22" s="795"/>
      <c r="F22" s="795"/>
      <c r="G22" s="796"/>
      <c r="H22" s="58"/>
      <c r="I22" s="56"/>
      <c r="J22" s="59"/>
      <c r="K22" s="57"/>
      <c r="L22" s="57"/>
      <c r="M22" s="57"/>
      <c r="N22" s="57"/>
      <c r="O22" s="57"/>
      <c r="P22" s="57"/>
      <c r="Q22" s="57"/>
      <c r="R22" s="57"/>
      <c r="S22" s="57"/>
      <c r="T22" s="57"/>
    </row>
    <row r="23" spans="1:20" x14ac:dyDescent="0.25">
      <c r="A23" s="40"/>
      <c r="B23" s="113"/>
      <c r="C23" s="60"/>
      <c r="D23" s="794"/>
      <c r="E23" s="795"/>
      <c r="F23" s="795"/>
      <c r="G23" s="796"/>
      <c r="H23" s="58"/>
      <c r="I23" s="63"/>
      <c r="J23" s="57"/>
      <c r="K23" s="57"/>
      <c r="L23" s="57"/>
      <c r="M23" s="57"/>
      <c r="N23" s="57"/>
      <c r="O23" s="57"/>
      <c r="P23" s="57"/>
      <c r="Q23" s="57"/>
      <c r="R23" s="57"/>
      <c r="S23" s="57"/>
      <c r="T23" s="57"/>
    </row>
    <row r="24" spans="1:20" x14ac:dyDescent="0.25">
      <c r="A24" s="40"/>
      <c r="B24" s="113"/>
      <c r="C24" s="60"/>
      <c r="D24" s="794"/>
      <c r="E24" s="795"/>
      <c r="F24" s="795"/>
      <c r="G24" s="796"/>
      <c r="H24" s="58"/>
      <c r="I24" s="63"/>
      <c r="J24" s="57"/>
      <c r="K24" s="57"/>
      <c r="L24" s="57"/>
      <c r="M24" s="57"/>
      <c r="N24" s="57"/>
      <c r="O24" s="57"/>
      <c r="P24" s="57"/>
      <c r="Q24" s="57"/>
      <c r="R24" s="57"/>
      <c r="S24" s="57"/>
      <c r="T24" s="57"/>
    </row>
    <row r="25" spans="1:20" x14ac:dyDescent="0.25">
      <c r="A25" s="40"/>
      <c r="B25" s="113"/>
      <c r="C25" s="60"/>
      <c r="D25" s="794"/>
      <c r="E25" s="795"/>
      <c r="F25" s="795"/>
      <c r="G25" s="796"/>
      <c r="H25" s="58"/>
      <c r="I25" s="63"/>
      <c r="J25" s="57"/>
      <c r="K25" s="57"/>
      <c r="L25" s="57"/>
      <c r="M25" s="57"/>
      <c r="N25" s="57"/>
      <c r="O25" s="57"/>
      <c r="P25" s="57"/>
      <c r="Q25" s="57"/>
      <c r="R25" s="57"/>
      <c r="S25" s="57"/>
      <c r="T25" s="57"/>
    </row>
    <row r="26" spans="1:20" x14ac:dyDescent="0.25">
      <c r="A26" s="40"/>
      <c r="B26" s="113"/>
      <c r="C26" s="40"/>
      <c r="D26" s="794"/>
      <c r="E26" s="795"/>
      <c r="F26" s="795"/>
      <c r="G26" s="796"/>
      <c r="H26" s="58"/>
      <c r="I26" s="63"/>
      <c r="J26" s="57"/>
      <c r="K26" s="57"/>
      <c r="L26" s="57"/>
      <c r="M26" s="57"/>
      <c r="N26" s="57"/>
      <c r="O26" s="57"/>
      <c r="P26" s="57"/>
      <c r="Q26" s="57"/>
      <c r="R26" s="57"/>
      <c r="S26" s="57"/>
      <c r="T26" s="57"/>
    </row>
    <row r="27" spans="1:20" x14ac:dyDescent="0.25">
      <c r="A27" s="66"/>
      <c r="B27" s="113"/>
      <c r="C27" s="40"/>
      <c r="D27" s="794"/>
      <c r="E27" s="795"/>
      <c r="F27" s="795"/>
      <c r="G27" s="796"/>
      <c r="H27" s="68"/>
      <c r="I27" s="69"/>
      <c r="J27" s="70"/>
      <c r="K27" s="70"/>
      <c r="L27" s="70"/>
      <c r="M27" s="70"/>
      <c r="N27" s="70"/>
      <c r="O27" s="70"/>
      <c r="P27" s="70"/>
      <c r="Q27" s="70"/>
      <c r="R27" s="70"/>
      <c r="S27" s="70"/>
      <c r="T27" s="70"/>
    </row>
    <row r="28" spans="1:20" x14ac:dyDescent="0.25">
      <c r="A28" s="66"/>
      <c r="B28" s="119"/>
      <c r="C28" s="66"/>
      <c r="D28" s="794"/>
      <c r="E28" s="795"/>
      <c r="F28" s="795"/>
      <c r="G28" s="796"/>
      <c r="H28" s="72"/>
      <c r="I28" s="74"/>
      <c r="J28" s="75"/>
      <c r="K28" s="75"/>
      <c r="L28" s="75"/>
      <c r="M28" s="75"/>
      <c r="N28" s="75"/>
      <c r="O28" s="75"/>
      <c r="P28" s="75"/>
      <c r="Q28" s="75"/>
      <c r="R28" s="75"/>
      <c r="S28" s="75"/>
      <c r="T28" s="75"/>
    </row>
    <row r="29" spans="1:20" x14ac:dyDescent="0.25">
      <c r="B29" s="84"/>
      <c r="H29" s="108">
        <f>SUM(H17:H28)</f>
        <v>0</v>
      </c>
      <c r="I29" s="109">
        <f t="shared" ref="I29:T29" si="1">SUM(I17:I22)</f>
        <v>0</v>
      </c>
      <c r="J29" s="108">
        <f t="shared" si="1"/>
        <v>0</v>
      </c>
      <c r="K29" s="108">
        <f t="shared" si="1"/>
        <v>0</v>
      </c>
      <c r="L29" s="108">
        <f t="shared" si="1"/>
        <v>0</v>
      </c>
      <c r="M29" s="108">
        <f t="shared" si="1"/>
        <v>0</v>
      </c>
      <c r="N29" s="108">
        <f t="shared" si="1"/>
        <v>0</v>
      </c>
      <c r="O29" s="108">
        <f t="shared" si="1"/>
        <v>0</v>
      </c>
      <c r="P29" s="108">
        <f t="shared" si="1"/>
        <v>0</v>
      </c>
      <c r="Q29" s="108">
        <f t="shared" si="1"/>
        <v>0</v>
      </c>
      <c r="R29" s="108">
        <f t="shared" si="1"/>
        <v>0</v>
      </c>
      <c r="S29" s="108">
        <f t="shared" si="1"/>
        <v>0</v>
      </c>
      <c r="T29" s="108">
        <f t="shared" si="1"/>
        <v>0</v>
      </c>
    </row>
    <row r="30" spans="1:20" x14ac:dyDescent="0.25">
      <c r="B30" s="84"/>
    </row>
    <row r="31" spans="1:20" x14ac:dyDescent="0.25">
      <c r="B31" s="84"/>
    </row>
    <row r="32" spans="1:20" x14ac:dyDescent="0.25">
      <c r="B32" s="84"/>
    </row>
    <row r="33" spans="2:2" x14ac:dyDescent="0.25">
      <c r="B33" s="84"/>
    </row>
    <row r="34" spans="2:2" x14ac:dyDescent="0.25">
      <c r="B34" s="84"/>
    </row>
    <row r="35" spans="2:2" x14ac:dyDescent="0.25">
      <c r="B35" s="84"/>
    </row>
    <row r="36" spans="2:2" x14ac:dyDescent="0.25">
      <c r="B36" s="84"/>
    </row>
    <row r="37" spans="2:2" x14ac:dyDescent="0.25">
      <c r="B37" s="84"/>
    </row>
    <row r="38" spans="2:2" x14ac:dyDescent="0.25">
      <c r="B38" s="84"/>
    </row>
    <row r="39" spans="2:2" x14ac:dyDescent="0.25">
      <c r="B39" s="84"/>
    </row>
    <row r="40" spans="2:2" x14ac:dyDescent="0.25">
      <c r="B40" s="84"/>
    </row>
    <row r="41" spans="2:2" x14ac:dyDescent="0.25">
      <c r="B41" s="84"/>
    </row>
    <row r="42" spans="2:2" x14ac:dyDescent="0.25">
      <c r="B42" s="84"/>
    </row>
    <row r="43" spans="2:2" x14ac:dyDescent="0.25">
      <c r="B43" s="84"/>
    </row>
    <row r="44" spans="2:2" x14ac:dyDescent="0.25">
      <c r="B44" s="84"/>
    </row>
    <row r="45" spans="2:2" x14ac:dyDescent="0.25">
      <c r="B45" s="84"/>
    </row>
    <row r="46" spans="2:2" x14ac:dyDescent="0.25">
      <c r="B46" s="84"/>
    </row>
    <row r="47" spans="2:2" x14ac:dyDescent="0.25">
      <c r="B47" s="84"/>
    </row>
    <row r="48" spans="2:2" x14ac:dyDescent="0.25">
      <c r="B48" s="84"/>
    </row>
    <row r="49" spans="2:2" x14ac:dyDescent="0.25">
      <c r="B49" s="84"/>
    </row>
    <row r="50" spans="2:2" x14ac:dyDescent="0.25">
      <c r="B50" s="84"/>
    </row>
    <row r="51" spans="2:2" x14ac:dyDescent="0.25">
      <c r="B51" s="84"/>
    </row>
    <row r="52" spans="2:2" x14ac:dyDescent="0.25">
      <c r="B52" s="84"/>
    </row>
    <row r="53" spans="2:2" x14ac:dyDescent="0.25">
      <c r="B53" s="84"/>
    </row>
    <row r="54" spans="2:2" x14ac:dyDescent="0.25">
      <c r="B54" s="84"/>
    </row>
    <row r="55" spans="2:2" x14ac:dyDescent="0.25">
      <c r="B55" s="84"/>
    </row>
    <row r="56" spans="2:2" x14ac:dyDescent="0.25">
      <c r="B56" s="84"/>
    </row>
    <row r="57" spans="2:2" x14ac:dyDescent="0.25">
      <c r="B57" s="84"/>
    </row>
    <row r="58" spans="2:2" x14ac:dyDescent="0.25">
      <c r="B58" s="84"/>
    </row>
    <row r="59" spans="2:2" x14ac:dyDescent="0.25">
      <c r="B59" s="84"/>
    </row>
    <row r="60" spans="2:2" x14ac:dyDescent="0.25">
      <c r="B60" s="84"/>
    </row>
    <row r="61" spans="2:2" x14ac:dyDescent="0.25">
      <c r="B61" s="84"/>
    </row>
    <row r="62" spans="2:2" x14ac:dyDescent="0.25">
      <c r="B62" s="84"/>
    </row>
    <row r="63" spans="2:2" x14ac:dyDescent="0.25">
      <c r="B63" s="84"/>
    </row>
    <row r="64" spans="2:2" x14ac:dyDescent="0.25">
      <c r="B64" s="84"/>
    </row>
    <row r="65" spans="2:2" x14ac:dyDescent="0.25">
      <c r="B65" s="84"/>
    </row>
    <row r="66" spans="2:2" x14ac:dyDescent="0.25">
      <c r="B66" s="84"/>
    </row>
    <row r="67" spans="2:2" x14ac:dyDescent="0.25">
      <c r="B67" s="84"/>
    </row>
    <row r="68" spans="2:2" x14ac:dyDescent="0.25">
      <c r="B68" s="84"/>
    </row>
    <row r="69" spans="2:2" x14ac:dyDescent="0.25">
      <c r="B69" s="84"/>
    </row>
    <row r="70" spans="2:2" x14ac:dyDescent="0.25">
      <c r="B70" s="84"/>
    </row>
    <row r="71" spans="2:2" x14ac:dyDescent="0.25">
      <c r="B71" s="84"/>
    </row>
    <row r="72" spans="2:2" x14ac:dyDescent="0.25">
      <c r="B72" s="84"/>
    </row>
    <row r="73" spans="2:2" x14ac:dyDescent="0.25">
      <c r="B73" s="84"/>
    </row>
    <row r="74" spans="2:2" x14ac:dyDescent="0.25">
      <c r="B74" s="84"/>
    </row>
    <row r="75" spans="2:2" x14ac:dyDescent="0.25">
      <c r="B75" s="84"/>
    </row>
    <row r="76" spans="2:2" x14ac:dyDescent="0.25">
      <c r="B76" s="84"/>
    </row>
    <row r="77" spans="2:2" x14ac:dyDescent="0.25">
      <c r="B77" s="84"/>
    </row>
    <row r="78" spans="2:2" x14ac:dyDescent="0.25">
      <c r="B78" s="84"/>
    </row>
    <row r="79" spans="2:2" x14ac:dyDescent="0.25">
      <c r="B79" s="84"/>
    </row>
    <row r="80" spans="2:2" x14ac:dyDescent="0.25">
      <c r="B80" s="84"/>
    </row>
    <row r="81" spans="2:2" x14ac:dyDescent="0.25">
      <c r="B81" s="84"/>
    </row>
    <row r="82" spans="2:2" x14ac:dyDescent="0.25">
      <c r="B82" s="84"/>
    </row>
    <row r="83" spans="2:2" x14ac:dyDescent="0.25">
      <c r="B83" s="84"/>
    </row>
    <row r="84" spans="2:2" x14ac:dyDescent="0.25">
      <c r="B84" s="84"/>
    </row>
    <row r="85" spans="2:2" x14ac:dyDescent="0.25">
      <c r="B85" s="84"/>
    </row>
    <row r="86" spans="2:2" x14ac:dyDescent="0.25">
      <c r="B86" s="84"/>
    </row>
    <row r="87" spans="2:2" x14ac:dyDescent="0.25">
      <c r="B87" s="84"/>
    </row>
    <row r="88" spans="2:2" x14ac:dyDescent="0.25">
      <c r="B88" s="84"/>
    </row>
    <row r="89" spans="2:2" x14ac:dyDescent="0.25">
      <c r="B89" s="84"/>
    </row>
    <row r="90" spans="2:2" x14ac:dyDescent="0.25">
      <c r="B90" s="84"/>
    </row>
    <row r="91" spans="2:2" x14ac:dyDescent="0.25">
      <c r="B91" s="84"/>
    </row>
    <row r="92" spans="2:2" x14ac:dyDescent="0.25">
      <c r="B92" s="84"/>
    </row>
    <row r="93" spans="2:2" x14ac:dyDescent="0.25">
      <c r="B93" s="84"/>
    </row>
    <row r="94" spans="2:2" x14ac:dyDescent="0.25">
      <c r="B94" s="84"/>
    </row>
    <row r="95" spans="2:2" x14ac:dyDescent="0.25">
      <c r="B95" s="84"/>
    </row>
    <row r="96" spans="2:2" x14ac:dyDescent="0.25">
      <c r="B96" s="84"/>
    </row>
    <row r="97" spans="2:2" x14ac:dyDescent="0.25">
      <c r="B97" s="84"/>
    </row>
    <row r="98" spans="2:2" x14ac:dyDescent="0.25">
      <c r="B98" s="84"/>
    </row>
    <row r="99" spans="2:2" x14ac:dyDescent="0.25">
      <c r="B99" s="84"/>
    </row>
    <row r="100" spans="2:2" x14ac:dyDescent="0.25">
      <c r="B100" s="84"/>
    </row>
    <row r="101" spans="2:2" x14ac:dyDescent="0.25">
      <c r="B101" s="84"/>
    </row>
    <row r="102" spans="2:2" x14ac:dyDescent="0.25">
      <c r="B102" s="84"/>
    </row>
    <row r="103" spans="2:2" x14ac:dyDescent="0.25">
      <c r="B103" s="84"/>
    </row>
    <row r="104" spans="2:2" x14ac:dyDescent="0.25">
      <c r="B104" s="84"/>
    </row>
    <row r="105" spans="2:2" x14ac:dyDescent="0.25">
      <c r="B105" s="84"/>
    </row>
    <row r="106" spans="2:2" x14ac:dyDescent="0.25">
      <c r="B106" s="84"/>
    </row>
    <row r="107" spans="2:2" x14ac:dyDescent="0.25">
      <c r="B107" s="84"/>
    </row>
    <row r="108" spans="2:2" x14ac:dyDescent="0.25">
      <c r="B108" s="84"/>
    </row>
    <row r="109" spans="2:2" x14ac:dyDescent="0.25">
      <c r="B109" s="84"/>
    </row>
    <row r="110" spans="2:2" x14ac:dyDescent="0.25">
      <c r="B110" s="84"/>
    </row>
    <row r="111" spans="2:2" x14ac:dyDescent="0.25">
      <c r="B111" s="84"/>
    </row>
    <row r="112" spans="2:2" x14ac:dyDescent="0.25">
      <c r="B112" s="84"/>
    </row>
    <row r="113" spans="2:2" x14ac:dyDescent="0.25">
      <c r="B113" s="84"/>
    </row>
    <row r="114" spans="2:2" x14ac:dyDescent="0.25">
      <c r="B114" s="84"/>
    </row>
    <row r="115" spans="2:2" x14ac:dyDescent="0.25">
      <c r="B115" s="84"/>
    </row>
    <row r="116" spans="2:2" x14ac:dyDescent="0.25">
      <c r="B116" s="84"/>
    </row>
    <row r="117" spans="2:2" x14ac:dyDescent="0.25">
      <c r="B117" s="84"/>
    </row>
    <row r="118" spans="2:2" x14ac:dyDescent="0.25">
      <c r="B118" s="84"/>
    </row>
    <row r="119" spans="2:2" x14ac:dyDescent="0.25">
      <c r="B119" s="84"/>
    </row>
    <row r="120" spans="2:2" x14ac:dyDescent="0.25">
      <c r="B120" s="84"/>
    </row>
    <row r="121" spans="2:2" x14ac:dyDescent="0.25">
      <c r="B121" s="84"/>
    </row>
    <row r="122" spans="2:2" x14ac:dyDescent="0.25">
      <c r="B122" s="84"/>
    </row>
    <row r="123" spans="2:2" x14ac:dyDescent="0.25">
      <c r="B123" s="84"/>
    </row>
    <row r="124" spans="2:2" x14ac:dyDescent="0.25">
      <c r="B124" s="84"/>
    </row>
    <row r="125" spans="2:2" x14ac:dyDescent="0.25">
      <c r="B125" s="84"/>
    </row>
    <row r="126" spans="2:2" x14ac:dyDescent="0.25">
      <c r="B126" s="84"/>
    </row>
    <row r="127" spans="2:2" x14ac:dyDescent="0.25">
      <c r="B127" s="84"/>
    </row>
    <row r="128" spans="2:2" x14ac:dyDescent="0.25">
      <c r="B128" s="84"/>
    </row>
    <row r="129" spans="2:2" x14ac:dyDescent="0.25">
      <c r="B129" s="84"/>
    </row>
    <row r="130" spans="2:2" x14ac:dyDescent="0.25">
      <c r="B130" s="84"/>
    </row>
    <row r="131" spans="2:2" x14ac:dyDescent="0.25">
      <c r="B131" s="84"/>
    </row>
    <row r="132" spans="2:2" x14ac:dyDescent="0.25">
      <c r="B132" s="84"/>
    </row>
    <row r="133" spans="2:2" x14ac:dyDescent="0.25">
      <c r="B133" s="84"/>
    </row>
    <row r="134" spans="2:2" x14ac:dyDescent="0.25">
      <c r="B134" s="84"/>
    </row>
    <row r="135" spans="2:2" x14ac:dyDescent="0.25">
      <c r="B135" s="84"/>
    </row>
    <row r="136" spans="2:2" x14ac:dyDescent="0.25">
      <c r="B136" s="84"/>
    </row>
    <row r="137" spans="2:2" x14ac:dyDescent="0.25">
      <c r="B137" s="84"/>
    </row>
    <row r="138" spans="2:2" x14ac:dyDescent="0.25">
      <c r="B138" s="84"/>
    </row>
    <row r="139" spans="2:2" x14ac:dyDescent="0.25">
      <c r="B139" s="84"/>
    </row>
    <row r="140" spans="2:2" x14ac:dyDescent="0.25">
      <c r="B140" s="84"/>
    </row>
    <row r="141" spans="2:2" x14ac:dyDescent="0.25">
      <c r="B141" s="84"/>
    </row>
    <row r="142" spans="2:2" x14ac:dyDescent="0.25">
      <c r="B142" s="84"/>
    </row>
    <row r="143" spans="2:2" x14ac:dyDescent="0.25">
      <c r="B143" s="84"/>
    </row>
    <row r="144" spans="2:2" x14ac:dyDescent="0.25">
      <c r="B144" s="84"/>
    </row>
    <row r="145" spans="2:2" x14ac:dyDescent="0.25">
      <c r="B145" s="84"/>
    </row>
    <row r="146" spans="2:2" x14ac:dyDescent="0.25">
      <c r="B146" s="84"/>
    </row>
    <row r="147" spans="2:2" x14ac:dyDescent="0.25">
      <c r="B147" s="84"/>
    </row>
    <row r="148" spans="2:2" x14ac:dyDescent="0.25">
      <c r="B148" s="84"/>
    </row>
    <row r="149" spans="2:2" x14ac:dyDescent="0.25">
      <c r="B149" s="84"/>
    </row>
    <row r="150" spans="2:2" x14ac:dyDescent="0.25">
      <c r="B150" s="84"/>
    </row>
    <row r="151" spans="2:2" x14ac:dyDescent="0.25">
      <c r="B151" s="84"/>
    </row>
    <row r="152" spans="2:2" x14ac:dyDescent="0.25">
      <c r="B152" s="84"/>
    </row>
    <row r="153" spans="2:2" x14ac:dyDescent="0.25">
      <c r="B153" s="84"/>
    </row>
    <row r="154" spans="2:2" x14ac:dyDescent="0.25">
      <c r="B154" s="84"/>
    </row>
    <row r="155" spans="2:2" x14ac:dyDescent="0.25">
      <c r="B155" s="84"/>
    </row>
    <row r="156" spans="2:2" x14ac:dyDescent="0.25">
      <c r="B156" s="84"/>
    </row>
    <row r="157" spans="2:2" x14ac:dyDescent="0.25">
      <c r="B157" s="84"/>
    </row>
    <row r="158" spans="2:2" x14ac:dyDescent="0.25">
      <c r="B158" s="84"/>
    </row>
    <row r="159" spans="2:2" x14ac:dyDescent="0.25">
      <c r="B159" s="84"/>
    </row>
    <row r="160" spans="2:2" x14ac:dyDescent="0.25">
      <c r="B160" s="84"/>
    </row>
    <row r="161" spans="2:2" x14ac:dyDescent="0.25">
      <c r="B161" s="84"/>
    </row>
    <row r="162" spans="2:2" x14ac:dyDescent="0.25">
      <c r="B162" s="84"/>
    </row>
    <row r="163" spans="2:2" x14ac:dyDescent="0.25">
      <c r="B163" s="84"/>
    </row>
    <row r="164" spans="2:2" x14ac:dyDescent="0.25">
      <c r="B164" s="84"/>
    </row>
    <row r="165" spans="2:2" x14ac:dyDescent="0.25">
      <c r="B165" s="84"/>
    </row>
    <row r="166" spans="2:2" x14ac:dyDescent="0.25">
      <c r="B166" s="84"/>
    </row>
    <row r="167" spans="2:2" x14ac:dyDescent="0.25">
      <c r="B167" s="84"/>
    </row>
    <row r="168" spans="2:2" x14ac:dyDescent="0.25">
      <c r="B168" s="84"/>
    </row>
    <row r="169" spans="2:2" x14ac:dyDescent="0.25">
      <c r="B169" s="84"/>
    </row>
    <row r="170" spans="2:2" x14ac:dyDescent="0.25">
      <c r="B170" s="84"/>
    </row>
    <row r="171" spans="2:2" x14ac:dyDescent="0.25">
      <c r="B171" s="84"/>
    </row>
    <row r="172" spans="2:2" x14ac:dyDescent="0.25">
      <c r="B172" s="84"/>
    </row>
    <row r="173" spans="2:2" x14ac:dyDescent="0.25">
      <c r="B173" s="84"/>
    </row>
    <row r="174" spans="2:2" x14ac:dyDescent="0.25">
      <c r="B174" s="84"/>
    </row>
    <row r="175" spans="2:2" x14ac:dyDescent="0.25">
      <c r="B175" s="84"/>
    </row>
    <row r="176" spans="2:2" x14ac:dyDescent="0.25">
      <c r="B176" s="84"/>
    </row>
    <row r="177" spans="2:2" x14ac:dyDescent="0.25">
      <c r="B177" s="84"/>
    </row>
    <row r="178" spans="2:2" x14ac:dyDescent="0.25">
      <c r="B178" s="84"/>
    </row>
    <row r="179" spans="2:2" x14ac:dyDescent="0.25">
      <c r="B179" s="84"/>
    </row>
    <row r="180" spans="2:2" x14ac:dyDescent="0.25">
      <c r="B180" s="84"/>
    </row>
    <row r="181" spans="2:2" x14ac:dyDescent="0.25">
      <c r="B181" s="84"/>
    </row>
    <row r="182" spans="2:2" x14ac:dyDescent="0.25">
      <c r="B182" s="84"/>
    </row>
    <row r="183" spans="2:2" x14ac:dyDescent="0.25">
      <c r="B183" s="84"/>
    </row>
    <row r="184" spans="2:2" x14ac:dyDescent="0.25">
      <c r="B184" s="84"/>
    </row>
    <row r="185" spans="2:2" x14ac:dyDescent="0.25">
      <c r="B185" s="84"/>
    </row>
    <row r="186" spans="2:2" x14ac:dyDescent="0.25">
      <c r="B186" s="84"/>
    </row>
    <row r="187" spans="2:2" x14ac:dyDescent="0.25">
      <c r="B187" s="84"/>
    </row>
    <row r="188" spans="2:2" x14ac:dyDescent="0.25">
      <c r="B188" s="84"/>
    </row>
    <row r="189" spans="2:2" x14ac:dyDescent="0.25">
      <c r="B189" s="84"/>
    </row>
    <row r="190" spans="2:2" x14ac:dyDescent="0.25">
      <c r="B190" s="84"/>
    </row>
    <row r="191" spans="2:2" x14ac:dyDescent="0.25">
      <c r="B191" s="84"/>
    </row>
    <row r="192" spans="2:2" x14ac:dyDescent="0.25">
      <c r="B192" s="84"/>
    </row>
    <row r="193" spans="2:2" x14ac:dyDescent="0.25">
      <c r="B193" s="84"/>
    </row>
    <row r="194" spans="2:2" x14ac:dyDescent="0.25">
      <c r="B194" s="84"/>
    </row>
    <row r="195" spans="2:2" x14ac:dyDescent="0.25">
      <c r="B195" s="84"/>
    </row>
    <row r="196" spans="2:2" x14ac:dyDescent="0.25">
      <c r="B196" s="84"/>
    </row>
    <row r="197" spans="2:2" x14ac:dyDescent="0.25">
      <c r="B197" s="84"/>
    </row>
    <row r="198" spans="2:2" x14ac:dyDescent="0.25">
      <c r="B198" s="84"/>
    </row>
    <row r="199" spans="2:2" x14ac:dyDescent="0.25">
      <c r="B199" s="84"/>
    </row>
    <row r="200" spans="2:2" x14ac:dyDescent="0.25">
      <c r="B200" s="84"/>
    </row>
    <row r="201" spans="2:2" x14ac:dyDescent="0.25">
      <c r="B201" s="84"/>
    </row>
    <row r="202" spans="2:2" x14ac:dyDescent="0.25">
      <c r="B202" s="84"/>
    </row>
    <row r="203" spans="2:2" x14ac:dyDescent="0.25">
      <c r="B203" s="84"/>
    </row>
    <row r="204" spans="2:2" x14ac:dyDescent="0.25">
      <c r="B204" s="84"/>
    </row>
    <row r="205" spans="2:2" x14ac:dyDescent="0.25">
      <c r="B205" s="84"/>
    </row>
    <row r="206" spans="2:2" x14ac:dyDescent="0.25">
      <c r="B206" s="84"/>
    </row>
    <row r="207" spans="2:2" x14ac:dyDescent="0.25">
      <c r="B207" s="84"/>
    </row>
    <row r="208" spans="2:2" x14ac:dyDescent="0.25">
      <c r="B208" s="84"/>
    </row>
    <row r="209" spans="2:2" x14ac:dyDescent="0.25">
      <c r="B209" s="84"/>
    </row>
    <row r="210" spans="2:2" x14ac:dyDescent="0.25">
      <c r="B210" s="84"/>
    </row>
    <row r="211" spans="2:2" x14ac:dyDescent="0.25">
      <c r="B211" s="84"/>
    </row>
    <row r="212" spans="2:2" x14ac:dyDescent="0.25">
      <c r="B212" s="84"/>
    </row>
    <row r="213" spans="2:2" x14ac:dyDescent="0.25">
      <c r="B213" s="84"/>
    </row>
    <row r="214" spans="2:2" x14ac:dyDescent="0.25">
      <c r="B214" s="84"/>
    </row>
    <row r="215" spans="2:2" x14ac:dyDescent="0.25">
      <c r="B215" s="84"/>
    </row>
    <row r="216" spans="2:2" x14ac:dyDescent="0.25">
      <c r="B216" s="84"/>
    </row>
    <row r="217" spans="2:2" x14ac:dyDescent="0.25">
      <c r="B217" s="84"/>
    </row>
    <row r="218" spans="2:2" x14ac:dyDescent="0.25">
      <c r="B218" s="84"/>
    </row>
    <row r="219" spans="2:2" x14ac:dyDescent="0.25">
      <c r="B219" s="84"/>
    </row>
    <row r="220" spans="2:2" x14ac:dyDescent="0.25">
      <c r="B220" s="84"/>
    </row>
    <row r="221" spans="2:2" x14ac:dyDescent="0.25">
      <c r="B221" s="84"/>
    </row>
    <row r="222" spans="2:2" x14ac:dyDescent="0.25">
      <c r="B222" s="84"/>
    </row>
    <row r="223" spans="2:2" x14ac:dyDescent="0.25">
      <c r="B223" s="84"/>
    </row>
    <row r="224" spans="2:2" x14ac:dyDescent="0.25">
      <c r="B224" s="84"/>
    </row>
    <row r="225" spans="2:2" x14ac:dyDescent="0.25">
      <c r="B225" s="84"/>
    </row>
    <row r="226" spans="2:2" x14ac:dyDescent="0.25">
      <c r="B226" s="84"/>
    </row>
    <row r="227" spans="2:2" x14ac:dyDescent="0.25">
      <c r="B227" s="84"/>
    </row>
    <row r="228" spans="2:2" x14ac:dyDescent="0.25">
      <c r="B228" s="84"/>
    </row>
    <row r="229" spans="2:2" x14ac:dyDescent="0.25">
      <c r="B229" s="84"/>
    </row>
    <row r="230" spans="2:2" x14ac:dyDescent="0.25">
      <c r="B230" s="84"/>
    </row>
    <row r="231" spans="2:2" x14ac:dyDescent="0.25">
      <c r="B231" s="84"/>
    </row>
    <row r="232" spans="2:2" x14ac:dyDescent="0.25">
      <c r="B232" s="84"/>
    </row>
    <row r="233" spans="2:2" x14ac:dyDescent="0.25">
      <c r="B233" s="84"/>
    </row>
    <row r="234" spans="2:2" x14ac:dyDescent="0.25">
      <c r="B234" s="84"/>
    </row>
    <row r="235" spans="2:2" x14ac:dyDescent="0.25">
      <c r="B235" s="84"/>
    </row>
    <row r="236" spans="2:2" x14ac:dyDescent="0.25">
      <c r="B236" s="84"/>
    </row>
    <row r="237" spans="2:2" x14ac:dyDescent="0.25">
      <c r="B237" s="84"/>
    </row>
    <row r="238" spans="2:2" x14ac:dyDescent="0.25">
      <c r="B238" s="84"/>
    </row>
    <row r="239" spans="2:2" x14ac:dyDescent="0.25">
      <c r="B239" s="84"/>
    </row>
    <row r="240" spans="2:2" x14ac:dyDescent="0.25">
      <c r="B240" s="84"/>
    </row>
    <row r="241" spans="2:2" x14ac:dyDescent="0.25">
      <c r="B241" s="84"/>
    </row>
    <row r="242" spans="2:2" x14ac:dyDescent="0.25">
      <c r="B242" s="84"/>
    </row>
    <row r="243" spans="2:2" x14ac:dyDescent="0.25">
      <c r="B243" s="84"/>
    </row>
    <row r="244" spans="2:2" x14ac:dyDescent="0.25">
      <c r="B244" s="84"/>
    </row>
    <row r="245" spans="2:2" x14ac:dyDescent="0.25">
      <c r="B245" s="84"/>
    </row>
    <row r="246" spans="2:2" x14ac:dyDescent="0.25">
      <c r="B246" s="84"/>
    </row>
    <row r="247" spans="2:2" x14ac:dyDescent="0.25">
      <c r="B247" s="84"/>
    </row>
    <row r="248" spans="2:2" x14ac:dyDescent="0.25">
      <c r="B248" s="84"/>
    </row>
    <row r="249" spans="2:2" x14ac:dyDescent="0.25">
      <c r="B249" s="84"/>
    </row>
    <row r="250" spans="2:2" x14ac:dyDescent="0.25">
      <c r="B250" s="84"/>
    </row>
    <row r="251" spans="2:2" x14ac:dyDescent="0.25">
      <c r="B251" s="84"/>
    </row>
    <row r="252" spans="2:2" x14ac:dyDescent="0.25">
      <c r="B252" s="84"/>
    </row>
    <row r="253" spans="2:2" x14ac:dyDescent="0.25">
      <c r="B253" s="84"/>
    </row>
    <row r="254" spans="2:2" x14ac:dyDescent="0.25">
      <c r="B254" s="84"/>
    </row>
    <row r="255" spans="2:2" x14ac:dyDescent="0.25">
      <c r="B255" s="84"/>
    </row>
    <row r="256" spans="2:2" x14ac:dyDescent="0.25">
      <c r="B256" s="84"/>
    </row>
    <row r="257" spans="2:2" x14ac:dyDescent="0.25">
      <c r="B257" s="84"/>
    </row>
    <row r="258" spans="2:2" x14ac:dyDescent="0.25">
      <c r="B258" s="84"/>
    </row>
    <row r="259" spans="2:2" x14ac:dyDescent="0.25">
      <c r="B259" s="84"/>
    </row>
    <row r="260" spans="2:2" x14ac:dyDescent="0.25">
      <c r="B260" s="84"/>
    </row>
    <row r="261" spans="2:2" x14ac:dyDescent="0.25">
      <c r="B261" s="84"/>
    </row>
    <row r="262" spans="2:2" x14ac:dyDescent="0.25">
      <c r="B262" s="84"/>
    </row>
    <row r="263" spans="2:2" x14ac:dyDescent="0.25">
      <c r="B263" s="84"/>
    </row>
    <row r="264" spans="2:2" x14ac:dyDescent="0.25">
      <c r="B264" s="84"/>
    </row>
    <row r="265" spans="2:2" x14ac:dyDescent="0.25">
      <c r="B265" s="84"/>
    </row>
    <row r="266" spans="2:2" x14ac:dyDescent="0.25">
      <c r="B266" s="84"/>
    </row>
    <row r="267" spans="2:2" x14ac:dyDescent="0.25">
      <c r="B267" s="84"/>
    </row>
    <row r="268" spans="2:2" x14ac:dyDescent="0.25">
      <c r="B268" s="84"/>
    </row>
    <row r="269" spans="2:2" x14ac:dyDescent="0.25">
      <c r="B269" s="84"/>
    </row>
    <row r="270" spans="2:2" x14ac:dyDescent="0.25">
      <c r="B270" s="84"/>
    </row>
    <row r="271" spans="2:2" x14ac:dyDescent="0.25">
      <c r="B271" s="84"/>
    </row>
    <row r="272" spans="2:2" x14ac:dyDescent="0.25">
      <c r="B272" s="84"/>
    </row>
    <row r="273" spans="2:2" x14ac:dyDescent="0.25">
      <c r="B273" s="84"/>
    </row>
    <row r="274" spans="2:2" x14ac:dyDescent="0.25">
      <c r="B274" s="84"/>
    </row>
    <row r="275" spans="2:2" x14ac:dyDescent="0.25">
      <c r="B275" s="84"/>
    </row>
    <row r="276" spans="2:2" x14ac:dyDescent="0.25">
      <c r="B276" s="84"/>
    </row>
    <row r="277" spans="2:2" x14ac:dyDescent="0.25">
      <c r="B277" s="84"/>
    </row>
    <row r="278" spans="2:2" x14ac:dyDescent="0.25">
      <c r="B278" s="84"/>
    </row>
    <row r="279" spans="2:2" x14ac:dyDescent="0.25">
      <c r="B279" s="84"/>
    </row>
    <row r="280" spans="2:2" x14ac:dyDescent="0.25">
      <c r="B280" s="84"/>
    </row>
    <row r="281" spans="2:2" x14ac:dyDescent="0.25">
      <c r="B281" s="84"/>
    </row>
    <row r="282" spans="2:2" x14ac:dyDescent="0.25">
      <c r="B282" s="84"/>
    </row>
    <row r="283" spans="2:2" x14ac:dyDescent="0.25">
      <c r="B283" s="84"/>
    </row>
    <row r="284" spans="2:2" x14ac:dyDescent="0.25">
      <c r="B284" s="84"/>
    </row>
    <row r="285" spans="2:2" x14ac:dyDescent="0.25">
      <c r="B285" s="84"/>
    </row>
    <row r="286" spans="2:2" x14ac:dyDescent="0.25">
      <c r="B286" s="84"/>
    </row>
    <row r="287" spans="2:2" x14ac:dyDescent="0.25">
      <c r="B287" s="84"/>
    </row>
    <row r="288" spans="2:2" x14ac:dyDescent="0.25">
      <c r="B288" s="84"/>
    </row>
    <row r="289" spans="2:2" x14ac:dyDescent="0.25">
      <c r="B289" s="84"/>
    </row>
    <row r="290" spans="2:2" x14ac:dyDescent="0.25">
      <c r="B290" s="84"/>
    </row>
    <row r="291" spans="2:2" x14ac:dyDescent="0.25">
      <c r="B291" s="84"/>
    </row>
    <row r="292" spans="2:2" x14ac:dyDescent="0.25">
      <c r="B292" s="84"/>
    </row>
    <row r="293" spans="2:2" x14ac:dyDescent="0.25">
      <c r="B293" s="84"/>
    </row>
    <row r="294" spans="2:2" x14ac:dyDescent="0.25">
      <c r="B294" s="84"/>
    </row>
    <row r="295" spans="2:2" x14ac:dyDescent="0.25">
      <c r="B295" s="84"/>
    </row>
    <row r="296" spans="2:2" x14ac:dyDescent="0.25">
      <c r="B296" s="84"/>
    </row>
    <row r="297" spans="2:2" x14ac:dyDescent="0.25">
      <c r="B297" s="84"/>
    </row>
    <row r="298" spans="2:2" x14ac:dyDescent="0.25">
      <c r="B298" s="84"/>
    </row>
    <row r="299" spans="2:2" x14ac:dyDescent="0.25">
      <c r="B299" s="84"/>
    </row>
    <row r="300" spans="2:2" x14ac:dyDescent="0.25">
      <c r="B300" s="84"/>
    </row>
    <row r="301" spans="2:2" x14ac:dyDescent="0.25">
      <c r="B301" s="84"/>
    </row>
    <row r="302" spans="2:2" x14ac:dyDescent="0.25">
      <c r="B302" s="84"/>
    </row>
    <row r="303" spans="2:2" x14ac:dyDescent="0.25">
      <c r="B303" s="84"/>
    </row>
    <row r="304" spans="2:2" x14ac:dyDescent="0.25">
      <c r="B304" s="84"/>
    </row>
    <row r="305" spans="2:2" x14ac:dyDescent="0.25">
      <c r="B305" s="84"/>
    </row>
    <row r="306" spans="2:2" x14ac:dyDescent="0.25">
      <c r="B306" s="84"/>
    </row>
    <row r="307" spans="2:2" x14ac:dyDescent="0.25">
      <c r="B307" s="84"/>
    </row>
    <row r="308" spans="2:2" x14ac:dyDescent="0.25">
      <c r="B308" s="84"/>
    </row>
    <row r="309" spans="2:2" x14ac:dyDescent="0.25">
      <c r="B309" s="84"/>
    </row>
    <row r="310" spans="2:2" x14ac:dyDescent="0.25">
      <c r="B310" s="84"/>
    </row>
    <row r="311" spans="2:2" x14ac:dyDescent="0.25">
      <c r="B311" s="84"/>
    </row>
    <row r="312" spans="2:2" x14ac:dyDescent="0.25">
      <c r="B312" s="84"/>
    </row>
    <row r="313" spans="2:2" x14ac:dyDescent="0.25">
      <c r="B313" s="84"/>
    </row>
    <row r="314" spans="2:2" x14ac:dyDescent="0.25">
      <c r="B314" s="84"/>
    </row>
    <row r="315" spans="2:2" x14ac:dyDescent="0.25">
      <c r="B315" s="84"/>
    </row>
    <row r="316" spans="2:2" x14ac:dyDescent="0.25">
      <c r="B316" s="84"/>
    </row>
    <row r="317" spans="2:2" x14ac:dyDescent="0.25">
      <c r="B317" s="84"/>
    </row>
    <row r="318" spans="2:2" x14ac:dyDescent="0.25">
      <c r="B318" s="84"/>
    </row>
    <row r="319" spans="2:2" x14ac:dyDescent="0.25">
      <c r="B319" s="84"/>
    </row>
    <row r="320" spans="2:2" x14ac:dyDescent="0.25">
      <c r="B320" s="84"/>
    </row>
    <row r="321" spans="2:2" x14ac:dyDescent="0.25">
      <c r="B321" s="84"/>
    </row>
    <row r="322" spans="2:2" x14ac:dyDescent="0.25">
      <c r="B322" s="84"/>
    </row>
    <row r="323" spans="2:2" x14ac:dyDescent="0.25">
      <c r="B323" s="84"/>
    </row>
    <row r="324" spans="2:2" x14ac:dyDescent="0.25">
      <c r="B324" s="84"/>
    </row>
    <row r="325" spans="2:2" x14ac:dyDescent="0.25">
      <c r="B325" s="84"/>
    </row>
    <row r="326" spans="2:2" x14ac:dyDescent="0.25">
      <c r="B326" s="84"/>
    </row>
    <row r="327" spans="2:2" x14ac:dyDescent="0.25">
      <c r="B327" s="84"/>
    </row>
    <row r="328" spans="2:2" x14ac:dyDescent="0.25">
      <c r="B328" s="84"/>
    </row>
    <row r="329" spans="2:2" x14ac:dyDescent="0.25">
      <c r="B329" s="84"/>
    </row>
    <row r="330" spans="2:2" x14ac:dyDescent="0.25">
      <c r="B330" s="84"/>
    </row>
    <row r="331" spans="2:2" x14ac:dyDescent="0.25">
      <c r="B331" s="84"/>
    </row>
    <row r="332" spans="2:2" x14ac:dyDescent="0.25">
      <c r="B332" s="84"/>
    </row>
    <row r="333" spans="2:2" x14ac:dyDescent="0.25">
      <c r="B333" s="84"/>
    </row>
    <row r="334" spans="2:2" x14ac:dyDescent="0.25">
      <c r="B334" s="84"/>
    </row>
    <row r="335" spans="2:2" x14ac:dyDescent="0.25">
      <c r="B335" s="84"/>
    </row>
    <row r="336" spans="2:2" x14ac:dyDescent="0.25">
      <c r="B336" s="84"/>
    </row>
    <row r="337" spans="2:2" x14ac:dyDescent="0.25">
      <c r="B337" s="84"/>
    </row>
    <row r="338" spans="2:2" x14ac:dyDescent="0.25">
      <c r="B338" s="84"/>
    </row>
    <row r="339" spans="2:2" x14ac:dyDescent="0.25">
      <c r="B339" s="84"/>
    </row>
    <row r="340" spans="2:2" x14ac:dyDescent="0.25">
      <c r="B340" s="84"/>
    </row>
    <row r="341" spans="2:2" x14ac:dyDescent="0.25">
      <c r="B341" s="84"/>
    </row>
    <row r="342" spans="2:2" x14ac:dyDescent="0.25">
      <c r="B342" s="84"/>
    </row>
    <row r="343" spans="2:2" x14ac:dyDescent="0.25">
      <c r="B343" s="84"/>
    </row>
    <row r="344" spans="2:2" x14ac:dyDescent="0.25">
      <c r="B344" s="84"/>
    </row>
    <row r="345" spans="2:2" x14ac:dyDescent="0.25">
      <c r="B345" s="84"/>
    </row>
    <row r="346" spans="2:2" x14ac:dyDescent="0.25">
      <c r="B346" s="84"/>
    </row>
    <row r="347" spans="2:2" x14ac:dyDescent="0.25">
      <c r="B347" s="84"/>
    </row>
    <row r="348" spans="2:2" x14ac:dyDescent="0.25">
      <c r="B348" s="84"/>
    </row>
    <row r="349" spans="2:2" x14ac:dyDescent="0.25">
      <c r="B349" s="84"/>
    </row>
    <row r="350" spans="2:2" x14ac:dyDescent="0.25">
      <c r="B350" s="84"/>
    </row>
    <row r="351" spans="2:2" x14ac:dyDescent="0.25">
      <c r="B351" s="84"/>
    </row>
    <row r="352" spans="2:2" x14ac:dyDescent="0.25">
      <c r="B352" s="84"/>
    </row>
    <row r="353" spans="2:2" x14ac:dyDescent="0.25">
      <c r="B353" s="84"/>
    </row>
    <row r="354" spans="2:2" x14ac:dyDescent="0.25">
      <c r="B354" s="84"/>
    </row>
    <row r="355" spans="2:2" x14ac:dyDescent="0.25">
      <c r="B355" s="84"/>
    </row>
    <row r="356" spans="2:2" x14ac:dyDescent="0.25">
      <c r="B356" s="84"/>
    </row>
    <row r="357" spans="2:2" x14ac:dyDescent="0.25">
      <c r="B357" s="84"/>
    </row>
    <row r="358" spans="2:2" x14ac:dyDescent="0.25">
      <c r="B358" s="84"/>
    </row>
    <row r="359" spans="2:2" x14ac:dyDescent="0.25">
      <c r="B359" s="84"/>
    </row>
    <row r="360" spans="2:2" x14ac:dyDescent="0.25">
      <c r="B360" s="84"/>
    </row>
    <row r="361" spans="2:2" x14ac:dyDescent="0.25">
      <c r="B361" s="84"/>
    </row>
    <row r="362" spans="2:2" x14ac:dyDescent="0.25">
      <c r="B362" s="84"/>
    </row>
    <row r="363" spans="2:2" x14ac:dyDescent="0.25">
      <c r="B363" s="84"/>
    </row>
    <row r="364" spans="2:2" x14ac:dyDescent="0.25">
      <c r="B364" s="84"/>
    </row>
    <row r="365" spans="2:2" x14ac:dyDescent="0.25">
      <c r="B365" s="84"/>
    </row>
    <row r="366" spans="2:2" x14ac:dyDescent="0.25">
      <c r="B366" s="84"/>
    </row>
    <row r="367" spans="2:2" x14ac:dyDescent="0.25">
      <c r="B367" s="84"/>
    </row>
    <row r="368" spans="2:2" x14ac:dyDescent="0.25">
      <c r="B368" s="84"/>
    </row>
    <row r="369" spans="2:2" x14ac:dyDescent="0.25">
      <c r="B369" s="84"/>
    </row>
    <row r="370" spans="2:2" x14ac:dyDescent="0.25">
      <c r="B370" s="84"/>
    </row>
    <row r="371" spans="2:2" x14ac:dyDescent="0.25">
      <c r="B371" s="84"/>
    </row>
    <row r="372" spans="2:2" x14ac:dyDescent="0.25">
      <c r="B372" s="84"/>
    </row>
    <row r="373" spans="2:2" x14ac:dyDescent="0.25">
      <c r="B373" s="84"/>
    </row>
    <row r="374" spans="2:2" x14ac:dyDescent="0.25">
      <c r="B374" s="84"/>
    </row>
    <row r="375" spans="2:2" x14ac:dyDescent="0.25">
      <c r="B375" s="84"/>
    </row>
    <row r="376" spans="2:2" x14ac:dyDescent="0.25">
      <c r="B376" s="84"/>
    </row>
    <row r="377" spans="2:2" x14ac:dyDescent="0.25">
      <c r="B377" s="84"/>
    </row>
    <row r="378" spans="2:2" x14ac:dyDescent="0.25">
      <c r="B378" s="84"/>
    </row>
    <row r="379" spans="2:2" x14ac:dyDescent="0.25">
      <c r="B379" s="84"/>
    </row>
    <row r="380" spans="2:2" x14ac:dyDescent="0.25">
      <c r="B380" s="84"/>
    </row>
    <row r="381" spans="2:2" x14ac:dyDescent="0.25">
      <c r="B381" s="84"/>
    </row>
    <row r="382" spans="2:2" x14ac:dyDescent="0.25">
      <c r="B382" s="84"/>
    </row>
    <row r="383" spans="2:2" x14ac:dyDescent="0.25">
      <c r="B383" s="84"/>
    </row>
    <row r="384" spans="2:2" x14ac:dyDescent="0.25">
      <c r="B384" s="84"/>
    </row>
    <row r="385" spans="2:2" x14ac:dyDescent="0.25">
      <c r="B385" s="84"/>
    </row>
    <row r="386" spans="2:2" x14ac:dyDescent="0.25">
      <c r="B386" s="84"/>
    </row>
    <row r="387" spans="2:2" x14ac:dyDescent="0.25">
      <c r="B387" s="84"/>
    </row>
    <row r="388" spans="2:2" x14ac:dyDescent="0.25">
      <c r="B388" s="84"/>
    </row>
    <row r="389" spans="2:2" x14ac:dyDescent="0.25">
      <c r="B389" s="84"/>
    </row>
    <row r="390" spans="2:2" x14ac:dyDescent="0.25">
      <c r="B390" s="84"/>
    </row>
    <row r="391" spans="2:2" x14ac:dyDescent="0.25">
      <c r="B391" s="84"/>
    </row>
    <row r="392" spans="2:2" x14ac:dyDescent="0.25">
      <c r="B392" s="84"/>
    </row>
    <row r="393" spans="2:2" x14ac:dyDescent="0.25">
      <c r="B393" s="84"/>
    </row>
    <row r="394" spans="2:2" x14ac:dyDescent="0.25">
      <c r="B394" s="84"/>
    </row>
    <row r="395" spans="2:2" x14ac:dyDescent="0.25">
      <c r="B395" s="84"/>
    </row>
    <row r="396" spans="2:2" x14ac:dyDescent="0.25">
      <c r="B396" s="84"/>
    </row>
    <row r="397" spans="2:2" x14ac:dyDescent="0.25">
      <c r="B397" s="84"/>
    </row>
    <row r="398" spans="2:2" x14ac:dyDescent="0.25">
      <c r="B398" s="84"/>
    </row>
    <row r="399" spans="2:2" x14ac:dyDescent="0.25">
      <c r="B399" s="84"/>
    </row>
    <row r="400" spans="2:2" x14ac:dyDescent="0.25">
      <c r="B400" s="84"/>
    </row>
    <row r="401" spans="2:2" x14ac:dyDescent="0.25">
      <c r="B401" s="84"/>
    </row>
    <row r="402" spans="2:2" x14ac:dyDescent="0.25">
      <c r="B402" s="84"/>
    </row>
    <row r="403" spans="2:2" x14ac:dyDescent="0.25">
      <c r="B403" s="84"/>
    </row>
    <row r="404" spans="2:2" x14ac:dyDescent="0.25">
      <c r="B404" s="84"/>
    </row>
    <row r="405" spans="2:2" x14ac:dyDescent="0.25">
      <c r="B405" s="84"/>
    </row>
    <row r="406" spans="2:2" x14ac:dyDescent="0.25">
      <c r="B406" s="84"/>
    </row>
    <row r="407" spans="2:2" x14ac:dyDescent="0.25">
      <c r="B407" s="84"/>
    </row>
    <row r="408" spans="2:2" x14ac:dyDescent="0.25">
      <c r="B408" s="84"/>
    </row>
    <row r="409" spans="2:2" x14ac:dyDescent="0.25">
      <c r="B409" s="84"/>
    </row>
    <row r="410" spans="2:2" x14ac:dyDescent="0.25">
      <c r="B410" s="84"/>
    </row>
    <row r="411" spans="2:2" x14ac:dyDescent="0.25">
      <c r="B411" s="84"/>
    </row>
    <row r="412" spans="2:2" x14ac:dyDescent="0.25">
      <c r="B412" s="84"/>
    </row>
    <row r="413" spans="2:2" x14ac:dyDescent="0.25">
      <c r="B413" s="84"/>
    </row>
    <row r="414" spans="2:2" x14ac:dyDescent="0.25">
      <c r="B414" s="84"/>
    </row>
    <row r="415" spans="2:2" x14ac:dyDescent="0.25">
      <c r="B415" s="84"/>
    </row>
    <row r="416" spans="2:2" x14ac:dyDescent="0.25">
      <c r="B416" s="84"/>
    </row>
    <row r="417" spans="2:2" x14ac:dyDescent="0.25">
      <c r="B417" s="84"/>
    </row>
    <row r="418" spans="2:2" x14ac:dyDescent="0.25">
      <c r="B418" s="84"/>
    </row>
    <row r="419" spans="2:2" x14ac:dyDescent="0.25">
      <c r="B419" s="84"/>
    </row>
    <row r="420" spans="2:2" x14ac:dyDescent="0.25">
      <c r="B420" s="84"/>
    </row>
    <row r="421" spans="2:2" x14ac:dyDescent="0.25">
      <c r="B421" s="84"/>
    </row>
    <row r="422" spans="2:2" x14ac:dyDescent="0.25">
      <c r="B422" s="84"/>
    </row>
    <row r="423" spans="2:2" x14ac:dyDescent="0.25">
      <c r="B423" s="84"/>
    </row>
    <row r="424" spans="2:2" x14ac:dyDescent="0.25">
      <c r="B424" s="84"/>
    </row>
    <row r="425" spans="2:2" x14ac:dyDescent="0.25">
      <c r="B425" s="84"/>
    </row>
    <row r="426" spans="2:2" x14ac:dyDescent="0.25">
      <c r="B426" s="84"/>
    </row>
    <row r="427" spans="2:2" x14ac:dyDescent="0.25">
      <c r="B427" s="84"/>
    </row>
    <row r="428" spans="2:2" x14ac:dyDescent="0.25">
      <c r="B428" s="84"/>
    </row>
    <row r="429" spans="2:2" x14ac:dyDescent="0.25">
      <c r="B429" s="84"/>
    </row>
    <row r="430" spans="2:2" x14ac:dyDescent="0.25">
      <c r="B430" s="84"/>
    </row>
    <row r="431" spans="2:2" x14ac:dyDescent="0.25">
      <c r="B431" s="84"/>
    </row>
    <row r="432" spans="2:2" x14ac:dyDescent="0.25">
      <c r="B432" s="84"/>
    </row>
    <row r="433" spans="2:2" x14ac:dyDescent="0.25">
      <c r="B433" s="84"/>
    </row>
    <row r="434" spans="2:2" x14ac:dyDescent="0.25">
      <c r="B434" s="84"/>
    </row>
    <row r="435" spans="2:2" x14ac:dyDescent="0.25">
      <c r="B435" s="84"/>
    </row>
    <row r="436" spans="2:2" x14ac:dyDescent="0.25">
      <c r="B436" s="84"/>
    </row>
    <row r="437" spans="2:2" x14ac:dyDescent="0.25">
      <c r="B437" s="84"/>
    </row>
    <row r="438" spans="2:2" x14ac:dyDescent="0.25">
      <c r="B438" s="84"/>
    </row>
    <row r="439" spans="2:2" x14ac:dyDescent="0.25">
      <c r="B439" s="84"/>
    </row>
    <row r="440" spans="2:2" x14ac:dyDescent="0.25">
      <c r="B440" s="84"/>
    </row>
    <row r="441" spans="2:2" x14ac:dyDescent="0.25">
      <c r="B441" s="84"/>
    </row>
    <row r="442" spans="2:2" x14ac:dyDescent="0.25">
      <c r="B442" s="84"/>
    </row>
    <row r="443" spans="2:2" x14ac:dyDescent="0.25">
      <c r="B443" s="84"/>
    </row>
    <row r="444" spans="2:2" x14ac:dyDescent="0.25">
      <c r="B444" s="84"/>
    </row>
    <row r="445" spans="2:2" x14ac:dyDescent="0.25">
      <c r="B445" s="84"/>
    </row>
    <row r="446" spans="2:2" x14ac:dyDescent="0.25">
      <c r="B446" s="84"/>
    </row>
    <row r="447" spans="2:2" x14ac:dyDescent="0.25">
      <c r="B447" s="84"/>
    </row>
    <row r="448" spans="2:2" x14ac:dyDescent="0.25">
      <c r="B448" s="84"/>
    </row>
    <row r="449" spans="2:2" x14ac:dyDescent="0.25">
      <c r="B449" s="84"/>
    </row>
    <row r="450" spans="2:2" x14ac:dyDescent="0.25">
      <c r="B450" s="84"/>
    </row>
    <row r="451" spans="2:2" x14ac:dyDescent="0.25">
      <c r="B451" s="84"/>
    </row>
    <row r="452" spans="2:2" x14ac:dyDescent="0.25">
      <c r="B452" s="84"/>
    </row>
    <row r="453" spans="2:2" x14ac:dyDescent="0.25">
      <c r="B453" s="84"/>
    </row>
    <row r="454" spans="2:2" x14ac:dyDescent="0.25">
      <c r="B454" s="84"/>
    </row>
    <row r="455" spans="2:2" x14ac:dyDescent="0.25">
      <c r="B455" s="84"/>
    </row>
    <row r="456" spans="2:2" x14ac:dyDescent="0.25">
      <c r="B456" s="84"/>
    </row>
    <row r="457" spans="2:2" x14ac:dyDescent="0.25">
      <c r="B457" s="84"/>
    </row>
    <row r="458" spans="2:2" x14ac:dyDescent="0.25">
      <c r="B458" s="84"/>
    </row>
    <row r="459" spans="2:2" x14ac:dyDescent="0.25">
      <c r="B459" s="84"/>
    </row>
    <row r="460" spans="2:2" x14ac:dyDescent="0.25">
      <c r="B460" s="84"/>
    </row>
    <row r="461" spans="2:2" x14ac:dyDescent="0.25">
      <c r="B461" s="84"/>
    </row>
    <row r="462" spans="2:2" x14ac:dyDescent="0.25">
      <c r="B462" s="84"/>
    </row>
    <row r="463" spans="2:2" x14ac:dyDescent="0.25">
      <c r="B463" s="84"/>
    </row>
    <row r="464" spans="2:2" x14ac:dyDescent="0.25">
      <c r="B464" s="84"/>
    </row>
    <row r="465" spans="2:2" x14ac:dyDescent="0.25">
      <c r="B465" s="84"/>
    </row>
    <row r="466" spans="2:2" x14ac:dyDescent="0.25">
      <c r="B466" s="84"/>
    </row>
    <row r="467" spans="2:2" x14ac:dyDescent="0.25">
      <c r="B467" s="84"/>
    </row>
    <row r="468" spans="2:2" x14ac:dyDescent="0.25">
      <c r="B468" s="84"/>
    </row>
    <row r="469" spans="2:2" x14ac:dyDescent="0.25">
      <c r="B469" s="84"/>
    </row>
    <row r="470" spans="2:2" x14ac:dyDescent="0.25">
      <c r="B470" s="84"/>
    </row>
    <row r="471" spans="2:2" x14ac:dyDescent="0.25">
      <c r="B471" s="84"/>
    </row>
    <row r="472" spans="2:2" x14ac:dyDescent="0.25">
      <c r="B472" s="84"/>
    </row>
    <row r="473" spans="2:2" x14ac:dyDescent="0.25">
      <c r="B473" s="84"/>
    </row>
    <row r="474" spans="2:2" x14ac:dyDescent="0.25">
      <c r="B474" s="84"/>
    </row>
    <row r="475" spans="2:2" x14ac:dyDescent="0.25">
      <c r="B475" s="84"/>
    </row>
    <row r="476" spans="2:2" x14ac:dyDescent="0.25">
      <c r="B476" s="84"/>
    </row>
    <row r="477" spans="2:2" x14ac:dyDescent="0.25">
      <c r="B477" s="84"/>
    </row>
    <row r="478" spans="2:2" x14ac:dyDescent="0.25">
      <c r="B478" s="84"/>
    </row>
    <row r="479" spans="2:2" x14ac:dyDescent="0.25">
      <c r="B479" s="84"/>
    </row>
    <row r="480" spans="2:2" x14ac:dyDescent="0.25">
      <c r="B480" s="84"/>
    </row>
    <row r="481" spans="2:2" x14ac:dyDescent="0.25">
      <c r="B481" s="84"/>
    </row>
    <row r="482" spans="2:2" x14ac:dyDescent="0.25">
      <c r="B482" s="84"/>
    </row>
    <row r="483" spans="2:2" x14ac:dyDescent="0.25">
      <c r="B483" s="84"/>
    </row>
    <row r="484" spans="2:2" x14ac:dyDescent="0.25">
      <c r="B484" s="84"/>
    </row>
    <row r="485" spans="2:2" x14ac:dyDescent="0.25">
      <c r="B485" s="84"/>
    </row>
    <row r="486" spans="2:2" x14ac:dyDescent="0.25">
      <c r="B486" s="84"/>
    </row>
    <row r="487" spans="2:2" x14ac:dyDescent="0.25">
      <c r="B487" s="84"/>
    </row>
    <row r="488" spans="2:2" x14ac:dyDescent="0.25">
      <c r="B488" s="84"/>
    </row>
    <row r="489" spans="2:2" x14ac:dyDescent="0.25">
      <c r="B489" s="84"/>
    </row>
    <row r="490" spans="2:2" x14ac:dyDescent="0.25">
      <c r="B490" s="84"/>
    </row>
    <row r="491" spans="2:2" x14ac:dyDescent="0.25">
      <c r="B491" s="84"/>
    </row>
    <row r="492" spans="2:2" x14ac:dyDescent="0.25">
      <c r="B492" s="84"/>
    </row>
    <row r="493" spans="2:2" x14ac:dyDescent="0.25">
      <c r="B493" s="84"/>
    </row>
    <row r="494" spans="2:2" x14ac:dyDescent="0.25">
      <c r="B494" s="84"/>
    </row>
    <row r="495" spans="2:2" x14ac:dyDescent="0.25">
      <c r="B495" s="84"/>
    </row>
    <row r="496" spans="2:2" x14ac:dyDescent="0.25">
      <c r="B496" s="84"/>
    </row>
    <row r="497" spans="2:2" x14ac:dyDescent="0.25">
      <c r="B497" s="84"/>
    </row>
    <row r="498" spans="2:2" x14ac:dyDescent="0.25">
      <c r="B498" s="84"/>
    </row>
    <row r="499" spans="2:2" x14ac:dyDescent="0.25">
      <c r="B499" s="84"/>
    </row>
    <row r="500" spans="2:2" x14ac:dyDescent="0.25">
      <c r="B500" s="84"/>
    </row>
    <row r="501" spans="2:2" x14ac:dyDescent="0.25">
      <c r="B501" s="84"/>
    </row>
    <row r="502" spans="2:2" x14ac:dyDescent="0.25">
      <c r="B502" s="84"/>
    </row>
    <row r="503" spans="2:2" x14ac:dyDescent="0.25">
      <c r="B503" s="84"/>
    </row>
    <row r="504" spans="2:2" x14ac:dyDescent="0.25">
      <c r="B504" s="84"/>
    </row>
    <row r="505" spans="2:2" x14ac:dyDescent="0.25">
      <c r="B505" s="84"/>
    </row>
    <row r="506" spans="2:2" x14ac:dyDescent="0.25">
      <c r="B506" s="84"/>
    </row>
    <row r="507" spans="2:2" x14ac:dyDescent="0.25">
      <c r="B507" s="84"/>
    </row>
    <row r="508" spans="2:2" x14ac:dyDescent="0.25">
      <c r="B508" s="84"/>
    </row>
    <row r="509" spans="2:2" x14ac:dyDescent="0.25">
      <c r="B509" s="84"/>
    </row>
    <row r="510" spans="2:2" x14ac:dyDescent="0.25">
      <c r="B510" s="84"/>
    </row>
    <row r="511" spans="2:2" x14ac:dyDescent="0.25">
      <c r="B511" s="84"/>
    </row>
    <row r="512" spans="2:2" x14ac:dyDescent="0.25">
      <c r="B512" s="84"/>
    </row>
    <row r="513" spans="2:2" x14ac:dyDescent="0.25">
      <c r="B513" s="84"/>
    </row>
    <row r="514" spans="2:2" x14ac:dyDescent="0.25">
      <c r="B514" s="84"/>
    </row>
    <row r="515" spans="2:2" x14ac:dyDescent="0.25">
      <c r="B515" s="84"/>
    </row>
    <row r="516" spans="2:2" x14ac:dyDescent="0.25">
      <c r="B516" s="84"/>
    </row>
    <row r="517" spans="2:2" x14ac:dyDescent="0.25">
      <c r="B517" s="84"/>
    </row>
    <row r="518" spans="2:2" x14ac:dyDescent="0.25">
      <c r="B518" s="84"/>
    </row>
    <row r="519" spans="2:2" x14ac:dyDescent="0.25">
      <c r="B519" s="84"/>
    </row>
    <row r="520" spans="2:2" x14ac:dyDescent="0.25">
      <c r="B520" s="84"/>
    </row>
    <row r="521" spans="2:2" x14ac:dyDescent="0.25">
      <c r="B521" s="84"/>
    </row>
    <row r="522" spans="2:2" x14ac:dyDescent="0.25">
      <c r="B522" s="84"/>
    </row>
    <row r="523" spans="2:2" x14ac:dyDescent="0.25">
      <c r="B523" s="84"/>
    </row>
    <row r="524" spans="2:2" x14ac:dyDescent="0.25">
      <c r="B524" s="84"/>
    </row>
    <row r="525" spans="2:2" x14ac:dyDescent="0.25">
      <c r="B525" s="84"/>
    </row>
    <row r="526" spans="2:2" x14ac:dyDescent="0.25">
      <c r="B526" s="84"/>
    </row>
    <row r="527" spans="2:2" x14ac:dyDescent="0.25">
      <c r="B527" s="84"/>
    </row>
    <row r="528" spans="2:2" x14ac:dyDescent="0.25">
      <c r="B528" s="84"/>
    </row>
    <row r="529" spans="2:2" x14ac:dyDescent="0.25">
      <c r="B529" s="84"/>
    </row>
    <row r="530" spans="2:2" x14ac:dyDescent="0.25">
      <c r="B530" s="84"/>
    </row>
    <row r="531" spans="2:2" x14ac:dyDescent="0.25">
      <c r="B531" s="84"/>
    </row>
    <row r="532" spans="2:2" x14ac:dyDescent="0.25">
      <c r="B532" s="84"/>
    </row>
    <row r="533" spans="2:2" x14ac:dyDescent="0.25">
      <c r="B533" s="84"/>
    </row>
    <row r="534" spans="2:2" x14ac:dyDescent="0.25">
      <c r="B534" s="84"/>
    </row>
    <row r="535" spans="2:2" x14ac:dyDescent="0.25">
      <c r="B535" s="84"/>
    </row>
    <row r="536" spans="2:2" x14ac:dyDescent="0.25">
      <c r="B536" s="84"/>
    </row>
    <row r="537" spans="2:2" x14ac:dyDescent="0.25">
      <c r="B537" s="84"/>
    </row>
    <row r="538" spans="2:2" x14ac:dyDescent="0.25">
      <c r="B538" s="84"/>
    </row>
    <row r="539" spans="2:2" x14ac:dyDescent="0.25">
      <c r="B539" s="84"/>
    </row>
    <row r="540" spans="2:2" x14ac:dyDescent="0.25">
      <c r="B540" s="84"/>
    </row>
    <row r="541" spans="2:2" x14ac:dyDescent="0.25">
      <c r="B541" s="84"/>
    </row>
    <row r="542" spans="2:2" x14ac:dyDescent="0.25">
      <c r="B542" s="84"/>
    </row>
    <row r="543" spans="2:2" x14ac:dyDescent="0.25">
      <c r="B543" s="84"/>
    </row>
    <row r="544" spans="2:2" x14ac:dyDescent="0.25">
      <c r="B544" s="84"/>
    </row>
    <row r="545" spans="2:2" x14ac:dyDescent="0.25">
      <c r="B545" s="84"/>
    </row>
    <row r="546" spans="2:2" x14ac:dyDescent="0.25">
      <c r="B546" s="84"/>
    </row>
    <row r="547" spans="2:2" x14ac:dyDescent="0.25">
      <c r="B547" s="84"/>
    </row>
    <row r="548" spans="2:2" x14ac:dyDescent="0.25">
      <c r="B548" s="84"/>
    </row>
    <row r="549" spans="2:2" x14ac:dyDescent="0.25">
      <c r="B549" s="84"/>
    </row>
    <row r="550" spans="2:2" x14ac:dyDescent="0.25">
      <c r="B550" s="84"/>
    </row>
    <row r="551" spans="2:2" x14ac:dyDescent="0.25">
      <c r="B551" s="84"/>
    </row>
    <row r="552" spans="2:2" x14ac:dyDescent="0.25">
      <c r="B552" s="84"/>
    </row>
    <row r="553" spans="2:2" x14ac:dyDescent="0.25">
      <c r="B553" s="84"/>
    </row>
    <row r="554" spans="2:2" x14ac:dyDescent="0.25">
      <c r="B554" s="84"/>
    </row>
    <row r="555" spans="2:2" x14ac:dyDescent="0.25">
      <c r="B555" s="84"/>
    </row>
    <row r="556" spans="2:2" x14ac:dyDescent="0.25">
      <c r="B556" s="84"/>
    </row>
    <row r="557" spans="2:2" x14ac:dyDescent="0.25">
      <c r="B557" s="84"/>
    </row>
    <row r="558" spans="2:2" x14ac:dyDescent="0.25">
      <c r="B558" s="84"/>
    </row>
    <row r="559" spans="2:2" x14ac:dyDescent="0.25">
      <c r="B559" s="84"/>
    </row>
    <row r="560" spans="2:2" x14ac:dyDescent="0.25">
      <c r="B560" s="84"/>
    </row>
    <row r="561" spans="2:2" x14ac:dyDescent="0.25">
      <c r="B561" s="84"/>
    </row>
    <row r="562" spans="2:2" x14ac:dyDescent="0.25">
      <c r="B562" s="84"/>
    </row>
    <row r="563" spans="2:2" x14ac:dyDescent="0.25">
      <c r="B563" s="84"/>
    </row>
    <row r="564" spans="2:2" x14ac:dyDescent="0.25">
      <c r="B564" s="84"/>
    </row>
    <row r="565" spans="2:2" x14ac:dyDescent="0.25">
      <c r="B565" s="84"/>
    </row>
    <row r="566" spans="2:2" x14ac:dyDescent="0.25">
      <c r="B566" s="84"/>
    </row>
    <row r="567" spans="2:2" x14ac:dyDescent="0.25">
      <c r="B567" s="84"/>
    </row>
    <row r="568" spans="2:2" x14ac:dyDescent="0.25">
      <c r="B568" s="84"/>
    </row>
    <row r="569" spans="2:2" x14ac:dyDescent="0.25">
      <c r="B569" s="84"/>
    </row>
    <row r="570" spans="2:2" x14ac:dyDescent="0.25">
      <c r="B570" s="84"/>
    </row>
    <row r="571" spans="2:2" x14ac:dyDescent="0.25">
      <c r="B571" s="84"/>
    </row>
    <row r="572" spans="2:2" x14ac:dyDescent="0.25">
      <c r="B572" s="84"/>
    </row>
    <row r="573" spans="2:2" x14ac:dyDescent="0.25">
      <c r="B573" s="84"/>
    </row>
    <row r="574" spans="2:2" x14ac:dyDescent="0.25">
      <c r="B574" s="84"/>
    </row>
    <row r="575" spans="2:2" x14ac:dyDescent="0.25">
      <c r="B575" s="84"/>
    </row>
    <row r="576" spans="2:2" x14ac:dyDescent="0.25">
      <c r="B576" s="84"/>
    </row>
    <row r="577" spans="2:2" x14ac:dyDescent="0.25">
      <c r="B577" s="84"/>
    </row>
    <row r="578" spans="2:2" x14ac:dyDescent="0.25">
      <c r="B578" s="84"/>
    </row>
    <row r="579" spans="2:2" x14ac:dyDescent="0.25">
      <c r="B579" s="84"/>
    </row>
    <row r="580" spans="2:2" x14ac:dyDescent="0.25">
      <c r="B580" s="84"/>
    </row>
    <row r="581" spans="2:2" x14ac:dyDescent="0.25">
      <c r="B581" s="84"/>
    </row>
    <row r="582" spans="2:2" x14ac:dyDescent="0.25">
      <c r="B582" s="84"/>
    </row>
    <row r="583" spans="2:2" x14ac:dyDescent="0.25">
      <c r="B583" s="84"/>
    </row>
    <row r="584" spans="2:2" x14ac:dyDescent="0.25">
      <c r="B584" s="84"/>
    </row>
    <row r="585" spans="2:2" x14ac:dyDescent="0.25">
      <c r="B585" s="84"/>
    </row>
    <row r="586" spans="2:2" x14ac:dyDescent="0.25">
      <c r="B586" s="84"/>
    </row>
    <row r="587" spans="2:2" x14ac:dyDescent="0.25">
      <c r="B587" s="84"/>
    </row>
    <row r="588" spans="2:2" x14ac:dyDescent="0.25">
      <c r="B588" s="84"/>
    </row>
    <row r="589" spans="2:2" x14ac:dyDescent="0.25">
      <c r="B589" s="84"/>
    </row>
    <row r="590" spans="2:2" x14ac:dyDescent="0.25">
      <c r="B590" s="84"/>
    </row>
    <row r="591" spans="2:2" x14ac:dyDescent="0.25">
      <c r="B591" s="84"/>
    </row>
    <row r="592" spans="2:2" x14ac:dyDescent="0.25">
      <c r="B592" s="84"/>
    </row>
    <row r="593" spans="2:2" x14ac:dyDescent="0.25">
      <c r="B593" s="84"/>
    </row>
    <row r="594" spans="2:2" x14ac:dyDescent="0.25">
      <c r="B594" s="84"/>
    </row>
    <row r="595" spans="2:2" x14ac:dyDescent="0.25">
      <c r="B595" s="84"/>
    </row>
    <row r="596" spans="2:2" x14ac:dyDescent="0.25">
      <c r="B596" s="84"/>
    </row>
    <row r="597" spans="2:2" x14ac:dyDescent="0.25">
      <c r="B597" s="84"/>
    </row>
    <row r="598" spans="2:2" x14ac:dyDescent="0.25">
      <c r="B598" s="84"/>
    </row>
    <row r="599" spans="2:2" x14ac:dyDescent="0.25">
      <c r="B599" s="84"/>
    </row>
    <row r="600" spans="2:2" x14ac:dyDescent="0.25">
      <c r="B600" s="84"/>
    </row>
    <row r="601" spans="2:2" x14ac:dyDescent="0.25">
      <c r="B601" s="84"/>
    </row>
    <row r="602" spans="2:2" x14ac:dyDescent="0.25">
      <c r="B602" s="84"/>
    </row>
    <row r="603" spans="2:2" x14ac:dyDescent="0.25">
      <c r="B603" s="84"/>
    </row>
    <row r="604" spans="2:2" x14ac:dyDescent="0.25">
      <c r="B604" s="84"/>
    </row>
    <row r="605" spans="2:2" x14ac:dyDescent="0.25">
      <c r="B605" s="84"/>
    </row>
    <row r="606" spans="2:2" x14ac:dyDescent="0.25">
      <c r="B606" s="84"/>
    </row>
    <row r="607" spans="2:2" x14ac:dyDescent="0.25">
      <c r="B607" s="84"/>
    </row>
    <row r="608" spans="2:2" x14ac:dyDescent="0.25">
      <c r="B608" s="84"/>
    </row>
    <row r="609" spans="2:2" x14ac:dyDescent="0.25">
      <c r="B609" s="84"/>
    </row>
    <row r="610" spans="2:2" x14ac:dyDescent="0.25">
      <c r="B610" s="84"/>
    </row>
    <row r="611" spans="2:2" x14ac:dyDescent="0.25">
      <c r="B611" s="84"/>
    </row>
    <row r="612" spans="2:2" x14ac:dyDescent="0.25">
      <c r="B612" s="84"/>
    </row>
    <row r="613" spans="2:2" x14ac:dyDescent="0.25">
      <c r="B613" s="84"/>
    </row>
    <row r="614" spans="2:2" x14ac:dyDescent="0.25">
      <c r="B614" s="84"/>
    </row>
    <row r="615" spans="2:2" x14ac:dyDescent="0.25">
      <c r="B615" s="84"/>
    </row>
    <row r="616" spans="2:2" x14ac:dyDescent="0.25">
      <c r="B616" s="84"/>
    </row>
    <row r="617" spans="2:2" x14ac:dyDescent="0.25">
      <c r="B617" s="84"/>
    </row>
    <row r="618" spans="2:2" x14ac:dyDescent="0.25">
      <c r="B618" s="84"/>
    </row>
    <row r="619" spans="2:2" x14ac:dyDescent="0.25">
      <c r="B619" s="84"/>
    </row>
    <row r="620" spans="2:2" x14ac:dyDescent="0.25">
      <c r="B620" s="84"/>
    </row>
    <row r="621" spans="2:2" x14ac:dyDescent="0.25">
      <c r="B621" s="84"/>
    </row>
    <row r="622" spans="2:2" x14ac:dyDescent="0.25">
      <c r="B622" s="84"/>
    </row>
    <row r="623" spans="2:2" x14ac:dyDescent="0.25">
      <c r="B623" s="84"/>
    </row>
    <row r="624" spans="2:2" x14ac:dyDescent="0.25">
      <c r="B624" s="84"/>
    </row>
    <row r="625" spans="2:2" x14ac:dyDescent="0.25">
      <c r="B625" s="84"/>
    </row>
    <row r="626" spans="2:2" x14ac:dyDescent="0.25">
      <c r="B626" s="84"/>
    </row>
    <row r="627" spans="2:2" x14ac:dyDescent="0.25">
      <c r="B627" s="84"/>
    </row>
    <row r="628" spans="2:2" x14ac:dyDescent="0.25">
      <c r="B628" s="84"/>
    </row>
    <row r="629" spans="2:2" x14ac:dyDescent="0.25">
      <c r="B629" s="84"/>
    </row>
    <row r="630" spans="2:2" x14ac:dyDescent="0.25">
      <c r="B630" s="84"/>
    </row>
    <row r="631" spans="2:2" x14ac:dyDescent="0.25">
      <c r="B631" s="84"/>
    </row>
    <row r="632" spans="2:2" x14ac:dyDescent="0.25">
      <c r="B632" s="84"/>
    </row>
    <row r="633" spans="2:2" x14ac:dyDescent="0.25">
      <c r="B633" s="84"/>
    </row>
    <row r="634" spans="2:2" x14ac:dyDescent="0.25">
      <c r="B634" s="84"/>
    </row>
    <row r="635" spans="2:2" x14ac:dyDescent="0.25">
      <c r="B635" s="84"/>
    </row>
    <row r="636" spans="2:2" x14ac:dyDescent="0.25">
      <c r="B636" s="84"/>
    </row>
    <row r="637" spans="2:2" x14ac:dyDescent="0.25">
      <c r="B637" s="84"/>
    </row>
    <row r="638" spans="2:2" x14ac:dyDescent="0.25">
      <c r="B638" s="84"/>
    </row>
    <row r="639" spans="2:2" x14ac:dyDescent="0.25">
      <c r="B639" s="84"/>
    </row>
    <row r="640" spans="2:2" x14ac:dyDescent="0.25">
      <c r="B640" s="84"/>
    </row>
    <row r="641" spans="2:2" x14ac:dyDescent="0.25">
      <c r="B641" s="84"/>
    </row>
    <row r="642" spans="2:2" x14ac:dyDescent="0.25">
      <c r="B642" s="84"/>
    </row>
    <row r="643" spans="2:2" x14ac:dyDescent="0.25">
      <c r="B643" s="84"/>
    </row>
    <row r="644" spans="2:2" x14ac:dyDescent="0.25">
      <c r="B644" s="84"/>
    </row>
    <row r="645" spans="2:2" x14ac:dyDescent="0.25">
      <c r="B645" s="84"/>
    </row>
    <row r="646" spans="2:2" x14ac:dyDescent="0.25">
      <c r="B646" s="84"/>
    </row>
    <row r="647" spans="2:2" x14ac:dyDescent="0.25">
      <c r="B647" s="84"/>
    </row>
    <row r="648" spans="2:2" x14ac:dyDescent="0.25">
      <c r="B648" s="84"/>
    </row>
    <row r="649" spans="2:2" x14ac:dyDescent="0.25">
      <c r="B649" s="84"/>
    </row>
    <row r="650" spans="2:2" x14ac:dyDescent="0.25">
      <c r="B650" s="84"/>
    </row>
    <row r="651" spans="2:2" x14ac:dyDescent="0.25">
      <c r="B651" s="84"/>
    </row>
    <row r="652" spans="2:2" x14ac:dyDescent="0.25">
      <c r="B652" s="84"/>
    </row>
    <row r="653" spans="2:2" x14ac:dyDescent="0.25">
      <c r="B653" s="84"/>
    </row>
    <row r="654" spans="2:2" x14ac:dyDescent="0.25">
      <c r="B654" s="84"/>
    </row>
    <row r="655" spans="2:2" x14ac:dyDescent="0.25">
      <c r="B655" s="84"/>
    </row>
    <row r="656" spans="2:2" x14ac:dyDescent="0.25">
      <c r="B656" s="84"/>
    </row>
    <row r="657" spans="2:2" x14ac:dyDescent="0.25">
      <c r="B657" s="84"/>
    </row>
    <row r="658" spans="2:2" x14ac:dyDescent="0.25">
      <c r="B658" s="84"/>
    </row>
    <row r="659" spans="2:2" x14ac:dyDescent="0.25">
      <c r="B659" s="84"/>
    </row>
    <row r="660" spans="2:2" x14ac:dyDescent="0.25">
      <c r="B660" s="84"/>
    </row>
    <row r="661" spans="2:2" x14ac:dyDescent="0.25">
      <c r="B661" s="84"/>
    </row>
    <row r="662" spans="2:2" x14ac:dyDescent="0.25">
      <c r="B662" s="84"/>
    </row>
    <row r="663" spans="2:2" x14ac:dyDescent="0.25">
      <c r="B663" s="84"/>
    </row>
    <row r="664" spans="2:2" x14ac:dyDescent="0.25">
      <c r="B664" s="84"/>
    </row>
    <row r="665" spans="2:2" x14ac:dyDescent="0.25">
      <c r="B665" s="84"/>
    </row>
    <row r="666" spans="2:2" x14ac:dyDescent="0.25">
      <c r="B666" s="84"/>
    </row>
    <row r="667" spans="2:2" x14ac:dyDescent="0.25">
      <c r="B667" s="84"/>
    </row>
    <row r="668" spans="2:2" x14ac:dyDescent="0.25">
      <c r="B668" s="84"/>
    </row>
    <row r="669" spans="2:2" x14ac:dyDescent="0.25">
      <c r="B669" s="84"/>
    </row>
    <row r="670" spans="2:2" x14ac:dyDescent="0.25">
      <c r="B670" s="84"/>
    </row>
    <row r="671" spans="2:2" x14ac:dyDescent="0.25">
      <c r="B671" s="84"/>
    </row>
    <row r="672" spans="2:2" x14ac:dyDescent="0.25">
      <c r="B672" s="84"/>
    </row>
    <row r="673" spans="2:2" x14ac:dyDescent="0.25">
      <c r="B673" s="84"/>
    </row>
    <row r="674" spans="2:2" x14ac:dyDescent="0.25">
      <c r="B674" s="84"/>
    </row>
    <row r="675" spans="2:2" x14ac:dyDescent="0.25">
      <c r="B675" s="84"/>
    </row>
    <row r="676" spans="2:2" x14ac:dyDescent="0.25">
      <c r="B676" s="84"/>
    </row>
    <row r="677" spans="2:2" x14ac:dyDescent="0.25">
      <c r="B677" s="84"/>
    </row>
    <row r="678" spans="2:2" x14ac:dyDescent="0.25">
      <c r="B678" s="84"/>
    </row>
    <row r="679" spans="2:2" x14ac:dyDescent="0.25">
      <c r="B679" s="84"/>
    </row>
    <row r="680" spans="2:2" x14ac:dyDescent="0.25">
      <c r="B680" s="84"/>
    </row>
    <row r="681" spans="2:2" x14ac:dyDescent="0.25">
      <c r="B681" s="84"/>
    </row>
    <row r="682" spans="2:2" x14ac:dyDescent="0.25">
      <c r="B682" s="84"/>
    </row>
    <row r="683" spans="2:2" x14ac:dyDescent="0.25">
      <c r="B683" s="84"/>
    </row>
    <row r="684" spans="2:2" x14ac:dyDescent="0.25">
      <c r="B684" s="84"/>
    </row>
    <row r="685" spans="2:2" x14ac:dyDescent="0.25">
      <c r="B685" s="84"/>
    </row>
    <row r="686" spans="2:2" x14ac:dyDescent="0.25">
      <c r="B686" s="84"/>
    </row>
    <row r="687" spans="2:2" x14ac:dyDescent="0.25">
      <c r="B687" s="84"/>
    </row>
    <row r="688" spans="2:2" x14ac:dyDescent="0.25">
      <c r="B688" s="84"/>
    </row>
    <row r="689" spans="2:2" x14ac:dyDescent="0.25">
      <c r="B689" s="84"/>
    </row>
    <row r="690" spans="2:2" x14ac:dyDescent="0.25">
      <c r="B690" s="84"/>
    </row>
    <row r="691" spans="2:2" x14ac:dyDescent="0.25">
      <c r="B691" s="84"/>
    </row>
    <row r="692" spans="2:2" x14ac:dyDescent="0.25">
      <c r="B692" s="84"/>
    </row>
    <row r="693" spans="2:2" x14ac:dyDescent="0.25">
      <c r="B693" s="84"/>
    </row>
    <row r="694" spans="2:2" x14ac:dyDescent="0.25">
      <c r="B694" s="84"/>
    </row>
    <row r="695" spans="2:2" x14ac:dyDescent="0.25">
      <c r="B695" s="84"/>
    </row>
    <row r="696" spans="2:2" x14ac:dyDescent="0.25">
      <c r="B696" s="84"/>
    </row>
    <row r="697" spans="2:2" x14ac:dyDescent="0.25">
      <c r="B697" s="84"/>
    </row>
    <row r="698" spans="2:2" x14ac:dyDescent="0.25">
      <c r="B698" s="84"/>
    </row>
    <row r="699" spans="2:2" x14ac:dyDescent="0.25">
      <c r="B699" s="84"/>
    </row>
    <row r="700" spans="2:2" x14ac:dyDescent="0.25">
      <c r="B700" s="84"/>
    </row>
    <row r="701" spans="2:2" x14ac:dyDescent="0.25">
      <c r="B701" s="84"/>
    </row>
    <row r="702" spans="2:2" x14ac:dyDescent="0.25">
      <c r="B702" s="84"/>
    </row>
    <row r="703" spans="2:2" x14ac:dyDescent="0.25">
      <c r="B703" s="84"/>
    </row>
    <row r="704" spans="2:2" x14ac:dyDescent="0.25">
      <c r="B704" s="84"/>
    </row>
    <row r="705" spans="2:2" x14ac:dyDescent="0.25">
      <c r="B705" s="84"/>
    </row>
    <row r="706" spans="2:2" x14ac:dyDescent="0.25">
      <c r="B706" s="84"/>
    </row>
    <row r="707" spans="2:2" x14ac:dyDescent="0.25">
      <c r="B707" s="84"/>
    </row>
    <row r="708" spans="2:2" x14ac:dyDescent="0.25">
      <c r="B708" s="84"/>
    </row>
    <row r="709" spans="2:2" x14ac:dyDescent="0.25">
      <c r="B709" s="84"/>
    </row>
    <row r="710" spans="2:2" x14ac:dyDescent="0.25">
      <c r="B710" s="84"/>
    </row>
    <row r="711" spans="2:2" x14ac:dyDescent="0.25">
      <c r="B711" s="84"/>
    </row>
    <row r="712" spans="2:2" x14ac:dyDescent="0.25">
      <c r="B712" s="84"/>
    </row>
    <row r="713" spans="2:2" x14ac:dyDescent="0.25">
      <c r="B713" s="84"/>
    </row>
    <row r="714" spans="2:2" x14ac:dyDescent="0.25">
      <c r="B714" s="84"/>
    </row>
    <row r="715" spans="2:2" x14ac:dyDescent="0.25">
      <c r="B715" s="84"/>
    </row>
    <row r="716" spans="2:2" x14ac:dyDescent="0.25">
      <c r="B716" s="84"/>
    </row>
    <row r="717" spans="2:2" x14ac:dyDescent="0.25">
      <c r="B717" s="84"/>
    </row>
    <row r="718" spans="2:2" x14ac:dyDescent="0.25">
      <c r="B718" s="84"/>
    </row>
    <row r="719" spans="2:2" x14ac:dyDescent="0.25">
      <c r="B719" s="84"/>
    </row>
    <row r="720" spans="2:2" x14ac:dyDescent="0.25">
      <c r="B720" s="84"/>
    </row>
    <row r="721" spans="2:2" x14ac:dyDescent="0.25">
      <c r="B721" s="84"/>
    </row>
    <row r="722" spans="2:2" x14ac:dyDescent="0.25">
      <c r="B722" s="84"/>
    </row>
    <row r="723" spans="2:2" x14ac:dyDescent="0.25">
      <c r="B723" s="84"/>
    </row>
    <row r="724" spans="2:2" x14ac:dyDescent="0.25">
      <c r="B724" s="84"/>
    </row>
    <row r="725" spans="2:2" x14ac:dyDescent="0.25">
      <c r="B725" s="84"/>
    </row>
    <row r="726" spans="2:2" x14ac:dyDescent="0.25">
      <c r="B726" s="84"/>
    </row>
    <row r="727" spans="2:2" x14ac:dyDescent="0.25">
      <c r="B727" s="84"/>
    </row>
    <row r="728" spans="2:2" x14ac:dyDescent="0.25">
      <c r="B728" s="84"/>
    </row>
    <row r="729" spans="2:2" x14ac:dyDescent="0.25">
      <c r="B729" s="84"/>
    </row>
    <row r="730" spans="2:2" x14ac:dyDescent="0.25">
      <c r="B730" s="84"/>
    </row>
    <row r="731" spans="2:2" x14ac:dyDescent="0.25">
      <c r="B731" s="84"/>
    </row>
    <row r="732" spans="2:2" x14ac:dyDescent="0.25">
      <c r="B732" s="84"/>
    </row>
    <row r="733" spans="2:2" x14ac:dyDescent="0.25">
      <c r="B733" s="84"/>
    </row>
    <row r="734" spans="2:2" x14ac:dyDescent="0.25">
      <c r="B734" s="84"/>
    </row>
    <row r="735" spans="2:2" x14ac:dyDescent="0.25">
      <c r="B735" s="84"/>
    </row>
    <row r="736" spans="2:2" x14ac:dyDescent="0.25">
      <c r="B736" s="84"/>
    </row>
    <row r="737" spans="2:2" x14ac:dyDescent="0.25">
      <c r="B737" s="84"/>
    </row>
    <row r="738" spans="2:2" x14ac:dyDescent="0.25">
      <c r="B738" s="84"/>
    </row>
    <row r="739" spans="2:2" x14ac:dyDescent="0.25">
      <c r="B739" s="84"/>
    </row>
    <row r="740" spans="2:2" x14ac:dyDescent="0.25">
      <c r="B740" s="84"/>
    </row>
    <row r="741" spans="2:2" x14ac:dyDescent="0.25">
      <c r="B741" s="84"/>
    </row>
    <row r="742" spans="2:2" x14ac:dyDescent="0.25">
      <c r="B742" s="84"/>
    </row>
    <row r="743" spans="2:2" x14ac:dyDescent="0.25">
      <c r="B743" s="84"/>
    </row>
    <row r="744" spans="2:2" x14ac:dyDescent="0.25">
      <c r="B744" s="84"/>
    </row>
    <row r="745" spans="2:2" x14ac:dyDescent="0.25">
      <c r="B745" s="84"/>
    </row>
    <row r="746" spans="2:2" x14ac:dyDescent="0.25">
      <c r="B746" s="84"/>
    </row>
    <row r="747" spans="2:2" x14ac:dyDescent="0.25">
      <c r="B747" s="84"/>
    </row>
    <row r="748" spans="2:2" x14ac:dyDescent="0.25">
      <c r="B748" s="84"/>
    </row>
    <row r="749" spans="2:2" x14ac:dyDescent="0.25">
      <c r="B749" s="84"/>
    </row>
    <row r="750" spans="2:2" x14ac:dyDescent="0.25">
      <c r="B750" s="84"/>
    </row>
    <row r="751" spans="2:2" x14ac:dyDescent="0.25">
      <c r="B751" s="84"/>
    </row>
    <row r="752" spans="2:2" x14ac:dyDescent="0.25">
      <c r="B752" s="84"/>
    </row>
    <row r="753" spans="2:2" x14ac:dyDescent="0.25">
      <c r="B753" s="84"/>
    </row>
    <row r="754" spans="2:2" x14ac:dyDescent="0.25">
      <c r="B754" s="84"/>
    </row>
    <row r="755" spans="2:2" x14ac:dyDescent="0.25">
      <c r="B755" s="84"/>
    </row>
    <row r="756" spans="2:2" x14ac:dyDescent="0.25">
      <c r="B756" s="84"/>
    </row>
    <row r="757" spans="2:2" x14ac:dyDescent="0.25">
      <c r="B757" s="84"/>
    </row>
    <row r="758" spans="2:2" x14ac:dyDescent="0.25">
      <c r="B758" s="84"/>
    </row>
    <row r="759" spans="2:2" x14ac:dyDescent="0.25">
      <c r="B759" s="84"/>
    </row>
    <row r="760" spans="2:2" x14ac:dyDescent="0.25">
      <c r="B760" s="84"/>
    </row>
    <row r="761" spans="2:2" x14ac:dyDescent="0.25">
      <c r="B761" s="84"/>
    </row>
    <row r="762" spans="2:2" x14ac:dyDescent="0.25">
      <c r="B762" s="84"/>
    </row>
    <row r="763" spans="2:2" x14ac:dyDescent="0.25">
      <c r="B763" s="84"/>
    </row>
    <row r="764" spans="2:2" x14ac:dyDescent="0.25">
      <c r="B764" s="84"/>
    </row>
    <row r="765" spans="2:2" x14ac:dyDescent="0.25">
      <c r="B765" s="84"/>
    </row>
    <row r="766" spans="2:2" x14ac:dyDescent="0.25">
      <c r="B766" s="84"/>
    </row>
    <row r="767" spans="2:2" x14ac:dyDescent="0.25">
      <c r="B767" s="84"/>
    </row>
    <row r="768" spans="2:2" x14ac:dyDescent="0.25">
      <c r="B768" s="84"/>
    </row>
    <row r="769" spans="2:2" x14ac:dyDescent="0.25">
      <c r="B769" s="84"/>
    </row>
    <row r="770" spans="2:2" x14ac:dyDescent="0.25">
      <c r="B770" s="84"/>
    </row>
    <row r="771" spans="2:2" x14ac:dyDescent="0.25">
      <c r="B771" s="84"/>
    </row>
    <row r="772" spans="2:2" x14ac:dyDescent="0.25">
      <c r="B772" s="84"/>
    </row>
    <row r="773" spans="2:2" x14ac:dyDescent="0.25">
      <c r="B773" s="84"/>
    </row>
    <row r="774" spans="2:2" x14ac:dyDescent="0.25">
      <c r="B774" s="84"/>
    </row>
    <row r="775" spans="2:2" x14ac:dyDescent="0.25">
      <c r="B775" s="84"/>
    </row>
    <row r="776" spans="2:2" x14ac:dyDescent="0.25">
      <c r="B776" s="84"/>
    </row>
    <row r="777" spans="2:2" x14ac:dyDescent="0.25">
      <c r="B777" s="84"/>
    </row>
    <row r="778" spans="2:2" x14ac:dyDescent="0.25">
      <c r="B778" s="84"/>
    </row>
    <row r="779" spans="2:2" x14ac:dyDescent="0.25">
      <c r="B779" s="84"/>
    </row>
    <row r="780" spans="2:2" x14ac:dyDescent="0.25">
      <c r="B780" s="84"/>
    </row>
    <row r="781" spans="2:2" x14ac:dyDescent="0.25">
      <c r="B781" s="84"/>
    </row>
    <row r="782" spans="2:2" x14ac:dyDescent="0.25">
      <c r="B782" s="84"/>
    </row>
    <row r="783" spans="2:2" x14ac:dyDescent="0.25">
      <c r="B783" s="84"/>
    </row>
    <row r="784" spans="2:2" x14ac:dyDescent="0.25">
      <c r="B784" s="84"/>
    </row>
    <row r="785" spans="2:2" x14ac:dyDescent="0.25">
      <c r="B785" s="84"/>
    </row>
    <row r="786" spans="2:2" x14ac:dyDescent="0.25">
      <c r="B786" s="84"/>
    </row>
    <row r="787" spans="2:2" x14ac:dyDescent="0.25">
      <c r="B787" s="84"/>
    </row>
    <row r="788" spans="2:2" x14ac:dyDescent="0.25">
      <c r="B788" s="84"/>
    </row>
    <row r="789" spans="2:2" x14ac:dyDescent="0.25">
      <c r="B789" s="84"/>
    </row>
    <row r="790" spans="2:2" x14ac:dyDescent="0.25">
      <c r="B790" s="84"/>
    </row>
    <row r="791" spans="2:2" x14ac:dyDescent="0.25">
      <c r="B791" s="84"/>
    </row>
    <row r="792" spans="2:2" x14ac:dyDescent="0.25">
      <c r="B792" s="84"/>
    </row>
    <row r="793" spans="2:2" x14ac:dyDescent="0.25">
      <c r="B793" s="84"/>
    </row>
    <row r="794" spans="2:2" x14ac:dyDescent="0.25">
      <c r="B794" s="84"/>
    </row>
    <row r="795" spans="2:2" x14ac:dyDescent="0.25">
      <c r="B795" s="84"/>
    </row>
    <row r="796" spans="2:2" x14ac:dyDescent="0.25">
      <c r="B796" s="84"/>
    </row>
    <row r="797" spans="2:2" x14ac:dyDescent="0.25">
      <c r="B797" s="84"/>
    </row>
    <row r="798" spans="2:2" x14ac:dyDescent="0.25">
      <c r="B798" s="84"/>
    </row>
    <row r="799" spans="2:2" x14ac:dyDescent="0.25">
      <c r="B799" s="84"/>
    </row>
    <row r="800" spans="2:2" x14ac:dyDescent="0.25">
      <c r="B800" s="84"/>
    </row>
    <row r="801" spans="2:2" x14ac:dyDescent="0.25">
      <c r="B801" s="84"/>
    </row>
    <row r="802" spans="2:2" x14ac:dyDescent="0.25">
      <c r="B802" s="84"/>
    </row>
    <row r="803" spans="2:2" x14ac:dyDescent="0.25">
      <c r="B803" s="84"/>
    </row>
    <row r="804" spans="2:2" x14ac:dyDescent="0.25">
      <c r="B804" s="84"/>
    </row>
    <row r="805" spans="2:2" x14ac:dyDescent="0.25">
      <c r="B805" s="84"/>
    </row>
    <row r="806" spans="2:2" x14ac:dyDescent="0.25">
      <c r="B806" s="84"/>
    </row>
    <row r="807" spans="2:2" x14ac:dyDescent="0.25">
      <c r="B807" s="84"/>
    </row>
    <row r="808" spans="2:2" x14ac:dyDescent="0.25">
      <c r="B808" s="84"/>
    </row>
    <row r="809" spans="2:2" x14ac:dyDescent="0.25">
      <c r="B809" s="84"/>
    </row>
    <row r="810" spans="2:2" x14ac:dyDescent="0.25">
      <c r="B810" s="84"/>
    </row>
    <row r="811" spans="2:2" x14ac:dyDescent="0.25">
      <c r="B811" s="84"/>
    </row>
    <row r="812" spans="2:2" x14ac:dyDescent="0.25">
      <c r="B812" s="84"/>
    </row>
    <row r="813" spans="2:2" x14ac:dyDescent="0.25">
      <c r="B813" s="84"/>
    </row>
    <row r="814" spans="2:2" x14ac:dyDescent="0.25">
      <c r="B814" s="84"/>
    </row>
    <row r="815" spans="2:2" x14ac:dyDescent="0.25">
      <c r="B815" s="84"/>
    </row>
    <row r="816" spans="2:2" x14ac:dyDescent="0.25">
      <c r="B816" s="84"/>
    </row>
    <row r="817" spans="2:2" x14ac:dyDescent="0.25">
      <c r="B817" s="84"/>
    </row>
    <row r="818" spans="2:2" x14ac:dyDescent="0.25">
      <c r="B818" s="84"/>
    </row>
    <row r="819" spans="2:2" x14ac:dyDescent="0.25">
      <c r="B819" s="84"/>
    </row>
    <row r="820" spans="2:2" x14ac:dyDescent="0.25">
      <c r="B820" s="84"/>
    </row>
    <row r="821" spans="2:2" x14ac:dyDescent="0.25">
      <c r="B821" s="84"/>
    </row>
    <row r="822" spans="2:2" x14ac:dyDescent="0.25">
      <c r="B822" s="84"/>
    </row>
    <row r="823" spans="2:2" x14ac:dyDescent="0.25">
      <c r="B823" s="84"/>
    </row>
    <row r="824" spans="2:2" x14ac:dyDescent="0.25">
      <c r="B824" s="84"/>
    </row>
    <row r="825" spans="2:2" x14ac:dyDescent="0.25">
      <c r="B825" s="84"/>
    </row>
    <row r="826" spans="2:2" x14ac:dyDescent="0.25">
      <c r="B826" s="84"/>
    </row>
    <row r="827" spans="2:2" x14ac:dyDescent="0.25">
      <c r="B827" s="84"/>
    </row>
    <row r="828" spans="2:2" x14ac:dyDescent="0.25">
      <c r="B828" s="84"/>
    </row>
    <row r="829" spans="2:2" x14ac:dyDescent="0.25">
      <c r="B829" s="84"/>
    </row>
    <row r="830" spans="2:2" x14ac:dyDescent="0.25">
      <c r="B830" s="84"/>
    </row>
    <row r="831" spans="2:2" x14ac:dyDescent="0.25">
      <c r="B831" s="84"/>
    </row>
    <row r="832" spans="2:2" x14ac:dyDescent="0.25">
      <c r="B832" s="84"/>
    </row>
    <row r="833" spans="2:2" x14ac:dyDescent="0.25">
      <c r="B833" s="84"/>
    </row>
    <row r="834" spans="2:2" x14ac:dyDescent="0.25">
      <c r="B834" s="84"/>
    </row>
    <row r="835" spans="2:2" x14ac:dyDescent="0.25">
      <c r="B835" s="84"/>
    </row>
    <row r="836" spans="2:2" x14ac:dyDescent="0.25">
      <c r="B836" s="84"/>
    </row>
    <row r="837" spans="2:2" x14ac:dyDescent="0.25">
      <c r="B837" s="84"/>
    </row>
    <row r="838" spans="2:2" x14ac:dyDescent="0.25">
      <c r="B838" s="84"/>
    </row>
    <row r="839" spans="2:2" x14ac:dyDescent="0.25">
      <c r="B839" s="84"/>
    </row>
    <row r="840" spans="2:2" x14ac:dyDescent="0.25">
      <c r="B840" s="84"/>
    </row>
    <row r="841" spans="2:2" x14ac:dyDescent="0.25">
      <c r="B841" s="84"/>
    </row>
    <row r="842" spans="2:2" x14ac:dyDescent="0.25">
      <c r="B842" s="84"/>
    </row>
    <row r="843" spans="2:2" x14ac:dyDescent="0.25">
      <c r="B843" s="84"/>
    </row>
    <row r="844" spans="2:2" x14ac:dyDescent="0.25">
      <c r="B844" s="84"/>
    </row>
    <row r="845" spans="2:2" x14ac:dyDescent="0.25">
      <c r="B845" s="84"/>
    </row>
    <row r="846" spans="2:2" x14ac:dyDescent="0.25">
      <c r="B846" s="84"/>
    </row>
    <row r="847" spans="2:2" x14ac:dyDescent="0.25">
      <c r="B847" s="84"/>
    </row>
    <row r="848" spans="2:2" x14ac:dyDescent="0.25">
      <c r="B848" s="84"/>
    </row>
    <row r="849" spans="2:2" x14ac:dyDescent="0.25">
      <c r="B849" s="84"/>
    </row>
    <row r="850" spans="2:2" x14ac:dyDescent="0.25">
      <c r="B850" s="84"/>
    </row>
    <row r="851" spans="2:2" x14ac:dyDescent="0.25">
      <c r="B851" s="84"/>
    </row>
    <row r="852" spans="2:2" x14ac:dyDescent="0.25">
      <c r="B852" s="84"/>
    </row>
    <row r="853" spans="2:2" x14ac:dyDescent="0.25">
      <c r="B853" s="84"/>
    </row>
    <row r="854" spans="2:2" x14ac:dyDescent="0.25">
      <c r="B854" s="84"/>
    </row>
    <row r="855" spans="2:2" x14ac:dyDescent="0.25">
      <c r="B855" s="84"/>
    </row>
    <row r="856" spans="2:2" x14ac:dyDescent="0.25">
      <c r="B856" s="84"/>
    </row>
    <row r="857" spans="2:2" x14ac:dyDescent="0.25">
      <c r="B857" s="84"/>
    </row>
    <row r="858" spans="2:2" x14ac:dyDescent="0.25">
      <c r="B858" s="84"/>
    </row>
    <row r="859" spans="2:2" x14ac:dyDescent="0.25">
      <c r="B859" s="84"/>
    </row>
    <row r="860" spans="2:2" x14ac:dyDescent="0.25">
      <c r="B860" s="84"/>
    </row>
    <row r="861" spans="2:2" x14ac:dyDescent="0.25">
      <c r="B861" s="84"/>
    </row>
    <row r="862" spans="2:2" x14ac:dyDescent="0.25">
      <c r="B862" s="84"/>
    </row>
    <row r="863" spans="2:2" x14ac:dyDescent="0.25">
      <c r="B863" s="84"/>
    </row>
    <row r="864" spans="2:2" x14ac:dyDescent="0.25">
      <c r="B864" s="84"/>
    </row>
    <row r="865" spans="2:2" x14ac:dyDescent="0.25">
      <c r="B865" s="84"/>
    </row>
    <row r="866" spans="2:2" x14ac:dyDescent="0.25">
      <c r="B866" s="84"/>
    </row>
    <row r="867" spans="2:2" x14ac:dyDescent="0.25">
      <c r="B867" s="84"/>
    </row>
    <row r="868" spans="2:2" x14ac:dyDescent="0.25">
      <c r="B868" s="84"/>
    </row>
    <row r="869" spans="2:2" x14ac:dyDescent="0.25">
      <c r="B869" s="84"/>
    </row>
    <row r="870" spans="2:2" x14ac:dyDescent="0.25">
      <c r="B870" s="84"/>
    </row>
    <row r="871" spans="2:2" x14ac:dyDescent="0.25">
      <c r="B871" s="84"/>
    </row>
    <row r="872" spans="2:2" x14ac:dyDescent="0.25">
      <c r="B872" s="84"/>
    </row>
    <row r="873" spans="2:2" x14ac:dyDescent="0.25">
      <c r="B873" s="84"/>
    </row>
    <row r="874" spans="2:2" x14ac:dyDescent="0.25">
      <c r="B874" s="84"/>
    </row>
    <row r="875" spans="2:2" x14ac:dyDescent="0.25">
      <c r="B875" s="84"/>
    </row>
    <row r="876" spans="2:2" x14ac:dyDescent="0.25">
      <c r="B876" s="84"/>
    </row>
    <row r="877" spans="2:2" x14ac:dyDescent="0.25">
      <c r="B877" s="84"/>
    </row>
    <row r="878" spans="2:2" x14ac:dyDescent="0.25">
      <c r="B878" s="84"/>
    </row>
    <row r="879" spans="2:2" x14ac:dyDescent="0.25">
      <c r="B879" s="84"/>
    </row>
    <row r="880" spans="2:2" x14ac:dyDescent="0.25">
      <c r="B880" s="84"/>
    </row>
    <row r="881" spans="2:2" x14ac:dyDescent="0.25">
      <c r="B881" s="84"/>
    </row>
    <row r="882" spans="2:2" x14ac:dyDescent="0.25">
      <c r="B882" s="84"/>
    </row>
    <row r="883" spans="2:2" x14ac:dyDescent="0.25">
      <c r="B883" s="84"/>
    </row>
    <row r="884" spans="2:2" x14ac:dyDescent="0.25">
      <c r="B884" s="84"/>
    </row>
    <row r="885" spans="2:2" x14ac:dyDescent="0.25">
      <c r="B885" s="84"/>
    </row>
    <row r="886" spans="2:2" x14ac:dyDescent="0.25">
      <c r="B886" s="84"/>
    </row>
    <row r="887" spans="2:2" x14ac:dyDescent="0.25">
      <c r="B887" s="84"/>
    </row>
    <row r="888" spans="2:2" x14ac:dyDescent="0.25">
      <c r="B888" s="84"/>
    </row>
    <row r="889" spans="2:2" x14ac:dyDescent="0.25">
      <c r="B889" s="84"/>
    </row>
    <row r="890" spans="2:2" x14ac:dyDescent="0.25">
      <c r="B890" s="84"/>
    </row>
    <row r="891" spans="2:2" x14ac:dyDescent="0.25">
      <c r="B891" s="84"/>
    </row>
    <row r="892" spans="2:2" x14ac:dyDescent="0.25">
      <c r="B892" s="84"/>
    </row>
    <row r="893" spans="2:2" x14ac:dyDescent="0.25">
      <c r="B893" s="84"/>
    </row>
    <row r="894" spans="2:2" x14ac:dyDescent="0.25">
      <c r="B894" s="84"/>
    </row>
    <row r="895" spans="2:2" x14ac:dyDescent="0.25">
      <c r="B895" s="84"/>
    </row>
    <row r="896" spans="2:2" x14ac:dyDescent="0.25">
      <c r="B896" s="84"/>
    </row>
    <row r="897" spans="2:2" x14ac:dyDescent="0.25">
      <c r="B897" s="84"/>
    </row>
    <row r="898" spans="2:2" x14ac:dyDescent="0.25">
      <c r="B898" s="84"/>
    </row>
    <row r="899" spans="2:2" x14ac:dyDescent="0.25">
      <c r="B899" s="84"/>
    </row>
    <row r="900" spans="2:2" x14ac:dyDescent="0.25">
      <c r="B900" s="84"/>
    </row>
    <row r="901" spans="2:2" x14ac:dyDescent="0.25">
      <c r="B901" s="84"/>
    </row>
    <row r="902" spans="2:2" x14ac:dyDescent="0.25">
      <c r="B902" s="84"/>
    </row>
    <row r="903" spans="2:2" x14ac:dyDescent="0.25">
      <c r="B903" s="84"/>
    </row>
    <row r="904" spans="2:2" x14ac:dyDescent="0.25">
      <c r="B904" s="84"/>
    </row>
    <row r="905" spans="2:2" x14ac:dyDescent="0.25">
      <c r="B905" s="84"/>
    </row>
    <row r="906" spans="2:2" x14ac:dyDescent="0.25">
      <c r="B906" s="84"/>
    </row>
    <row r="907" spans="2:2" x14ac:dyDescent="0.25">
      <c r="B907" s="84"/>
    </row>
    <row r="908" spans="2:2" x14ac:dyDescent="0.25">
      <c r="B908" s="84"/>
    </row>
    <row r="909" spans="2:2" x14ac:dyDescent="0.25">
      <c r="B909" s="84"/>
    </row>
    <row r="910" spans="2:2" x14ac:dyDescent="0.25">
      <c r="B910" s="84"/>
    </row>
    <row r="911" spans="2:2" x14ac:dyDescent="0.25">
      <c r="B911" s="84"/>
    </row>
    <row r="912" spans="2:2" x14ac:dyDescent="0.25">
      <c r="B912" s="84"/>
    </row>
    <row r="913" spans="2:2" x14ac:dyDescent="0.25">
      <c r="B913" s="84"/>
    </row>
    <row r="914" spans="2:2" x14ac:dyDescent="0.25">
      <c r="B914" s="84"/>
    </row>
    <row r="915" spans="2:2" x14ac:dyDescent="0.25">
      <c r="B915" s="84"/>
    </row>
    <row r="916" spans="2:2" x14ac:dyDescent="0.25">
      <c r="B916" s="84"/>
    </row>
    <row r="917" spans="2:2" x14ac:dyDescent="0.25">
      <c r="B917" s="84"/>
    </row>
    <row r="918" spans="2:2" x14ac:dyDescent="0.25">
      <c r="B918" s="84"/>
    </row>
    <row r="919" spans="2:2" x14ac:dyDescent="0.25">
      <c r="B919" s="84"/>
    </row>
    <row r="920" spans="2:2" x14ac:dyDescent="0.25">
      <c r="B920" s="84"/>
    </row>
    <row r="921" spans="2:2" x14ac:dyDescent="0.25">
      <c r="B921" s="84"/>
    </row>
    <row r="922" spans="2:2" x14ac:dyDescent="0.25">
      <c r="B922" s="84"/>
    </row>
    <row r="923" spans="2:2" x14ac:dyDescent="0.25">
      <c r="B923" s="84"/>
    </row>
    <row r="924" spans="2:2" x14ac:dyDescent="0.25">
      <c r="B924" s="84"/>
    </row>
    <row r="925" spans="2:2" x14ac:dyDescent="0.25">
      <c r="B925" s="84"/>
    </row>
    <row r="926" spans="2:2" x14ac:dyDescent="0.25">
      <c r="B926" s="84"/>
    </row>
    <row r="927" spans="2:2" x14ac:dyDescent="0.25">
      <c r="B927" s="84"/>
    </row>
    <row r="928" spans="2:2" x14ac:dyDescent="0.25">
      <c r="B928" s="84"/>
    </row>
    <row r="929" spans="2:2" x14ac:dyDescent="0.25">
      <c r="B929" s="84"/>
    </row>
    <row r="930" spans="2:2" x14ac:dyDescent="0.25">
      <c r="B930" s="84"/>
    </row>
    <row r="931" spans="2:2" x14ac:dyDescent="0.25">
      <c r="B931" s="84"/>
    </row>
    <row r="932" spans="2:2" x14ac:dyDescent="0.25">
      <c r="B932" s="84"/>
    </row>
    <row r="933" spans="2:2" x14ac:dyDescent="0.25">
      <c r="B933" s="84"/>
    </row>
    <row r="934" spans="2:2" x14ac:dyDescent="0.25">
      <c r="B934" s="84"/>
    </row>
    <row r="935" spans="2:2" x14ac:dyDescent="0.25">
      <c r="B935" s="84"/>
    </row>
    <row r="936" spans="2:2" x14ac:dyDescent="0.25">
      <c r="B936" s="84"/>
    </row>
    <row r="937" spans="2:2" x14ac:dyDescent="0.25">
      <c r="B937" s="84"/>
    </row>
    <row r="938" spans="2:2" x14ac:dyDescent="0.25">
      <c r="B938" s="84"/>
    </row>
    <row r="939" spans="2:2" x14ac:dyDescent="0.25">
      <c r="B939" s="84"/>
    </row>
    <row r="940" spans="2:2" x14ac:dyDescent="0.25">
      <c r="B940" s="84"/>
    </row>
    <row r="941" spans="2:2" x14ac:dyDescent="0.25">
      <c r="B941" s="84"/>
    </row>
    <row r="942" spans="2:2" x14ac:dyDescent="0.25">
      <c r="B942" s="84"/>
    </row>
    <row r="943" spans="2:2" x14ac:dyDescent="0.25">
      <c r="B943" s="84"/>
    </row>
    <row r="944" spans="2:2" x14ac:dyDescent="0.25">
      <c r="B944" s="84"/>
    </row>
    <row r="945" spans="2:2" x14ac:dyDescent="0.25">
      <c r="B945" s="84"/>
    </row>
    <row r="946" spans="2:2" x14ac:dyDescent="0.25">
      <c r="B946" s="84"/>
    </row>
    <row r="947" spans="2:2" x14ac:dyDescent="0.25">
      <c r="B947" s="84"/>
    </row>
    <row r="948" spans="2:2" x14ac:dyDescent="0.25">
      <c r="B948" s="84"/>
    </row>
    <row r="949" spans="2:2" x14ac:dyDescent="0.25">
      <c r="B949" s="84"/>
    </row>
    <row r="950" spans="2:2" x14ac:dyDescent="0.25">
      <c r="B950" s="84"/>
    </row>
    <row r="951" spans="2:2" x14ac:dyDescent="0.25">
      <c r="B951" s="84"/>
    </row>
    <row r="952" spans="2:2" x14ac:dyDescent="0.25">
      <c r="B952" s="84"/>
    </row>
    <row r="953" spans="2:2" x14ac:dyDescent="0.25">
      <c r="B953" s="84"/>
    </row>
    <row r="954" spans="2:2" x14ac:dyDescent="0.25">
      <c r="B954" s="84"/>
    </row>
    <row r="955" spans="2:2" x14ac:dyDescent="0.25">
      <c r="B955" s="84"/>
    </row>
    <row r="956" spans="2:2" x14ac:dyDescent="0.25">
      <c r="B956" s="84"/>
    </row>
    <row r="957" spans="2:2" x14ac:dyDescent="0.25">
      <c r="B957" s="84"/>
    </row>
    <row r="958" spans="2:2" x14ac:dyDescent="0.25">
      <c r="B958" s="84"/>
    </row>
    <row r="959" spans="2:2" x14ac:dyDescent="0.25">
      <c r="B959" s="84"/>
    </row>
    <row r="960" spans="2:2" x14ac:dyDescent="0.25">
      <c r="B960" s="84"/>
    </row>
    <row r="961" spans="2:2" x14ac:dyDescent="0.25">
      <c r="B961" s="84"/>
    </row>
    <row r="962" spans="2:2" x14ac:dyDescent="0.25">
      <c r="B962" s="84"/>
    </row>
    <row r="963" spans="2:2" x14ac:dyDescent="0.25">
      <c r="B963" s="84"/>
    </row>
    <row r="964" spans="2:2" x14ac:dyDescent="0.25">
      <c r="B964" s="84"/>
    </row>
    <row r="965" spans="2:2" x14ac:dyDescent="0.25">
      <c r="B965" s="84"/>
    </row>
    <row r="966" spans="2:2" x14ac:dyDescent="0.25">
      <c r="B966" s="84"/>
    </row>
    <row r="967" spans="2:2" x14ac:dyDescent="0.25">
      <c r="B967" s="84"/>
    </row>
    <row r="968" spans="2:2" x14ac:dyDescent="0.25">
      <c r="B968" s="84"/>
    </row>
    <row r="969" spans="2:2" x14ac:dyDescent="0.25">
      <c r="B969" s="84"/>
    </row>
    <row r="970" spans="2:2" x14ac:dyDescent="0.25">
      <c r="B970" s="84"/>
    </row>
    <row r="971" spans="2:2" x14ac:dyDescent="0.25">
      <c r="B971" s="84"/>
    </row>
    <row r="972" spans="2:2" x14ac:dyDescent="0.25">
      <c r="B972" s="84"/>
    </row>
    <row r="973" spans="2:2" x14ac:dyDescent="0.25">
      <c r="B973" s="84"/>
    </row>
    <row r="974" spans="2:2" x14ac:dyDescent="0.25">
      <c r="B974" s="84"/>
    </row>
    <row r="975" spans="2:2" x14ac:dyDescent="0.25">
      <c r="B975" s="84"/>
    </row>
    <row r="976" spans="2:2" x14ac:dyDescent="0.25">
      <c r="B976" s="84"/>
    </row>
    <row r="977" spans="2:2" x14ac:dyDescent="0.25">
      <c r="B977" s="84"/>
    </row>
    <row r="978" spans="2:2" x14ac:dyDescent="0.25">
      <c r="B978" s="84"/>
    </row>
    <row r="979" spans="2:2" x14ac:dyDescent="0.25">
      <c r="B979" s="84"/>
    </row>
    <row r="980" spans="2:2" x14ac:dyDescent="0.25">
      <c r="B980" s="84"/>
    </row>
    <row r="981" spans="2:2" x14ac:dyDescent="0.25">
      <c r="B981" s="84"/>
    </row>
    <row r="982" spans="2:2" x14ac:dyDescent="0.25">
      <c r="B982" s="84"/>
    </row>
    <row r="983" spans="2:2" x14ac:dyDescent="0.25">
      <c r="B983" s="84"/>
    </row>
    <row r="984" spans="2:2" x14ac:dyDescent="0.25">
      <c r="B984" s="84"/>
    </row>
    <row r="985" spans="2:2" x14ac:dyDescent="0.25">
      <c r="B985" s="84"/>
    </row>
    <row r="986" spans="2:2" x14ac:dyDescent="0.25">
      <c r="B986" s="84"/>
    </row>
    <row r="987" spans="2:2" x14ac:dyDescent="0.25">
      <c r="B987" s="84"/>
    </row>
    <row r="988" spans="2:2" x14ac:dyDescent="0.25">
      <c r="B988" s="84"/>
    </row>
    <row r="989" spans="2:2" x14ac:dyDescent="0.25">
      <c r="B989" s="84"/>
    </row>
    <row r="990" spans="2:2" x14ac:dyDescent="0.25">
      <c r="B990" s="84"/>
    </row>
    <row r="991" spans="2:2" x14ac:dyDescent="0.25">
      <c r="B991" s="84"/>
    </row>
    <row r="992" spans="2:2" x14ac:dyDescent="0.25">
      <c r="B992" s="84"/>
    </row>
    <row r="993" spans="2:2" x14ac:dyDescent="0.25">
      <c r="B993" s="84"/>
    </row>
    <row r="994" spans="2:2" x14ac:dyDescent="0.25">
      <c r="B994" s="84"/>
    </row>
    <row r="995" spans="2:2" x14ac:dyDescent="0.25">
      <c r="B995" s="84"/>
    </row>
    <row r="996" spans="2:2" x14ac:dyDescent="0.25">
      <c r="B996" s="84"/>
    </row>
  </sheetData>
  <mergeCells count="21">
    <mergeCell ref="D16:G16"/>
    <mergeCell ref="I15:J15"/>
    <mergeCell ref="D27:G27"/>
    <mergeCell ref="D28:G28"/>
    <mergeCell ref="D18:G18"/>
    <mergeCell ref="D19:G19"/>
    <mergeCell ref="D21:G21"/>
    <mergeCell ref="D20:G20"/>
    <mergeCell ref="D26:G26"/>
    <mergeCell ref="D23:G23"/>
    <mergeCell ref="D22:G22"/>
    <mergeCell ref="D25:G25"/>
    <mergeCell ref="D24:G24"/>
    <mergeCell ref="D17:G17"/>
    <mergeCell ref="O3:R3"/>
    <mergeCell ref="S3:T3"/>
    <mergeCell ref="K3:N3"/>
    <mergeCell ref="I3:J3"/>
    <mergeCell ref="K15:N15"/>
    <mergeCell ref="O15:R15"/>
    <mergeCell ref="S15:T15"/>
  </mergeCells>
  <pageMargins left="0.7" right="0.7" top="0.75" bottom="0.75" header="0" footer="0"/>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41"/>
  <sheetViews>
    <sheetView showGridLines="0" workbookViewId="0"/>
  </sheetViews>
  <sheetFormatPr defaultColWidth="14.42578125" defaultRowHeight="15" customHeight="1" outlineLevelRow="1" x14ac:dyDescent="0.25"/>
  <cols>
    <col min="1" max="1" width="17.42578125" customWidth="1"/>
    <col min="2" max="2" width="29.140625" customWidth="1"/>
    <col min="3" max="3" width="24.28515625" customWidth="1"/>
    <col min="4" max="4" width="20.7109375" customWidth="1"/>
    <col min="5" max="6" width="17.140625" customWidth="1"/>
    <col min="7" max="7" width="17.28515625" customWidth="1"/>
    <col min="8" max="19" width="9.85546875" customWidth="1"/>
    <col min="20" max="20" width="7.85546875" customWidth="1"/>
    <col min="21" max="27" width="15.85546875" customWidth="1"/>
  </cols>
  <sheetData>
    <row r="1" spans="1:20" ht="15" customHeight="1" x14ac:dyDescent="0.35">
      <c r="A1" s="1" t="s">
        <v>2</v>
      </c>
    </row>
    <row r="2" spans="1:20" x14ac:dyDescent="0.25">
      <c r="I2" s="5"/>
      <c r="J2" s="6"/>
      <c r="K2" s="5"/>
      <c r="L2" s="5"/>
      <c r="M2" s="5"/>
      <c r="N2" s="6"/>
      <c r="O2" s="5"/>
      <c r="P2" s="5"/>
      <c r="Q2" s="5"/>
      <c r="R2" s="6"/>
      <c r="S2" s="5"/>
      <c r="T2" s="5"/>
    </row>
    <row r="3" spans="1:20" ht="15" customHeight="1" x14ac:dyDescent="0.3">
      <c r="A3" s="7" t="s">
        <v>4</v>
      </c>
      <c r="H3" s="790">
        <v>2019</v>
      </c>
      <c r="I3" s="789"/>
      <c r="J3" s="787">
        <v>2020</v>
      </c>
      <c r="K3" s="788"/>
      <c r="L3" s="788"/>
      <c r="M3" s="789"/>
      <c r="N3" s="787">
        <v>2021</v>
      </c>
      <c r="O3" s="788"/>
      <c r="P3" s="788"/>
      <c r="Q3" s="789"/>
      <c r="R3" s="790">
        <v>2022</v>
      </c>
      <c r="S3" s="789"/>
      <c r="T3" s="5"/>
    </row>
    <row r="4" spans="1:20" outlineLevel="1" x14ac:dyDescent="0.25">
      <c r="A4" s="8"/>
      <c r="B4" s="8"/>
      <c r="C4" s="8"/>
      <c r="D4" s="11"/>
      <c r="E4" s="8"/>
      <c r="F4" s="8"/>
      <c r="G4" s="11"/>
      <c r="H4" s="13">
        <v>43647</v>
      </c>
      <c r="I4" s="13">
        <v>43739</v>
      </c>
      <c r="J4" s="13">
        <v>43831</v>
      </c>
      <c r="K4" s="13">
        <v>43922</v>
      </c>
      <c r="L4" s="13">
        <v>44013</v>
      </c>
      <c r="M4" s="13">
        <v>44105</v>
      </c>
      <c r="N4" s="13">
        <v>44197</v>
      </c>
      <c r="O4" s="13">
        <v>44287</v>
      </c>
      <c r="P4" s="13">
        <v>44378</v>
      </c>
      <c r="Q4" s="13">
        <v>44470</v>
      </c>
      <c r="R4" s="13">
        <v>44562</v>
      </c>
      <c r="S4" s="13">
        <v>44652</v>
      </c>
      <c r="T4" s="5"/>
    </row>
    <row r="5" spans="1:20" ht="30" x14ac:dyDescent="0.25">
      <c r="A5" s="15" t="s">
        <v>8</v>
      </c>
      <c r="B5" s="15" t="s">
        <v>11</v>
      </c>
      <c r="C5" s="15" t="s">
        <v>12</v>
      </c>
      <c r="D5" s="16" t="s">
        <v>13</v>
      </c>
      <c r="E5" s="17" t="s">
        <v>14</v>
      </c>
      <c r="F5" s="17" t="s">
        <v>15</v>
      </c>
      <c r="G5" s="16" t="s">
        <v>16</v>
      </c>
      <c r="H5" s="19" t="s">
        <v>10</v>
      </c>
      <c r="I5" s="21" t="s">
        <v>17</v>
      </c>
      <c r="J5" s="23" t="s">
        <v>18</v>
      </c>
      <c r="K5" s="25" t="s">
        <v>19</v>
      </c>
      <c r="L5" s="25" t="s">
        <v>10</v>
      </c>
      <c r="M5" s="21" t="s">
        <v>17</v>
      </c>
      <c r="N5" s="23" t="s">
        <v>18</v>
      </c>
      <c r="O5" s="25" t="s">
        <v>19</v>
      </c>
      <c r="P5" s="25" t="s">
        <v>10</v>
      </c>
      <c r="Q5" s="21" t="s">
        <v>17</v>
      </c>
      <c r="R5" s="23" t="s">
        <v>18</v>
      </c>
      <c r="S5" s="25" t="s">
        <v>19</v>
      </c>
      <c r="T5" s="5"/>
    </row>
    <row r="6" spans="1:20" x14ac:dyDescent="0.25">
      <c r="A6" s="27"/>
      <c r="B6" s="27"/>
      <c r="C6" s="45"/>
      <c r="D6" s="46"/>
      <c r="E6" s="37"/>
      <c r="F6" s="27"/>
      <c r="G6" s="39"/>
      <c r="H6" s="31"/>
      <c r="I6" s="33"/>
      <c r="J6" s="33"/>
      <c r="K6" s="33"/>
      <c r="L6" s="33"/>
      <c r="M6" s="33"/>
      <c r="N6" s="33"/>
      <c r="O6" s="33"/>
      <c r="P6" s="33"/>
      <c r="Q6" s="33"/>
      <c r="R6" s="33"/>
      <c r="S6" s="33"/>
      <c r="T6" s="5"/>
    </row>
    <row r="7" spans="1:20" x14ac:dyDescent="0.25">
      <c r="A7" s="40"/>
      <c r="B7" s="40"/>
      <c r="C7" s="35"/>
      <c r="D7" s="40"/>
      <c r="E7" s="42"/>
      <c r="F7" s="43"/>
      <c r="G7" s="44"/>
      <c r="H7" s="31">
        <f t="shared" ref="H7:R7" si="0">IF($E7&lt;I$4,($G7*1.3)/4,0)</f>
        <v>0</v>
      </c>
      <c r="I7" s="33">
        <f t="shared" si="0"/>
        <v>0</v>
      </c>
      <c r="J7" s="33">
        <f t="shared" si="0"/>
        <v>0</v>
      </c>
      <c r="K7" s="33">
        <f t="shared" si="0"/>
        <v>0</v>
      </c>
      <c r="L7" s="33">
        <f t="shared" si="0"/>
        <v>0</v>
      </c>
      <c r="M7" s="33">
        <f t="shared" si="0"/>
        <v>0</v>
      </c>
      <c r="N7" s="33">
        <f t="shared" si="0"/>
        <v>0</v>
      </c>
      <c r="O7" s="33">
        <f t="shared" si="0"/>
        <v>0</v>
      </c>
      <c r="P7" s="33">
        <f t="shared" si="0"/>
        <v>0</v>
      </c>
      <c r="Q7" s="33">
        <f t="shared" si="0"/>
        <v>0</v>
      </c>
      <c r="R7" s="33">
        <f t="shared" si="0"/>
        <v>0</v>
      </c>
      <c r="S7" s="33">
        <f t="shared" ref="S7:S24" si="1">IF($E7&lt;S$4,($G7*1.3)/4,0)</f>
        <v>0</v>
      </c>
      <c r="T7" s="5"/>
    </row>
    <row r="8" spans="1:20" x14ac:dyDescent="0.25">
      <c r="A8" s="40"/>
      <c r="B8" s="40"/>
      <c r="C8" s="35"/>
      <c r="D8" s="40"/>
      <c r="E8" s="42"/>
      <c r="F8" s="43"/>
      <c r="G8" s="44"/>
      <c r="H8" s="31">
        <f t="shared" ref="H8:R8" si="2">IF($E8&lt;I$4,($G8*1.3)/4,0)</f>
        <v>0</v>
      </c>
      <c r="I8" s="33">
        <f t="shared" si="2"/>
        <v>0</v>
      </c>
      <c r="J8" s="33">
        <f t="shared" si="2"/>
        <v>0</v>
      </c>
      <c r="K8" s="33">
        <f t="shared" si="2"/>
        <v>0</v>
      </c>
      <c r="L8" s="33">
        <f t="shared" si="2"/>
        <v>0</v>
      </c>
      <c r="M8" s="33">
        <f t="shared" si="2"/>
        <v>0</v>
      </c>
      <c r="N8" s="33">
        <f t="shared" si="2"/>
        <v>0</v>
      </c>
      <c r="O8" s="33">
        <f t="shared" si="2"/>
        <v>0</v>
      </c>
      <c r="P8" s="33">
        <f t="shared" si="2"/>
        <v>0</v>
      </c>
      <c r="Q8" s="33">
        <f t="shared" si="2"/>
        <v>0</v>
      </c>
      <c r="R8" s="33">
        <f t="shared" si="2"/>
        <v>0</v>
      </c>
      <c r="S8" s="33">
        <f t="shared" si="1"/>
        <v>0</v>
      </c>
      <c r="T8" s="5"/>
    </row>
    <row r="9" spans="1:20" x14ac:dyDescent="0.25">
      <c r="A9" s="40"/>
      <c r="B9" s="40"/>
      <c r="C9" s="35"/>
      <c r="D9" s="40"/>
      <c r="E9" s="42"/>
      <c r="F9" s="43"/>
      <c r="G9" s="44"/>
      <c r="H9" s="31">
        <f t="shared" ref="H9:R9" si="3">IF($E9&lt;I$4,($G9*1.3)/4,0)</f>
        <v>0</v>
      </c>
      <c r="I9" s="33">
        <f t="shared" si="3"/>
        <v>0</v>
      </c>
      <c r="J9" s="33">
        <f t="shared" si="3"/>
        <v>0</v>
      </c>
      <c r="K9" s="33">
        <f t="shared" si="3"/>
        <v>0</v>
      </c>
      <c r="L9" s="33">
        <f t="shared" si="3"/>
        <v>0</v>
      </c>
      <c r="M9" s="33">
        <f t="shared" si="3"/>
        <v>0</v>
      </c>
      <c r="N9" s="33">
        <f t="shared" si="3"/>
        <v>0</v>
      </c>
      <c r="O9" s="33">
        <f t="shared" si="3"/>
        <v>0</v>
      </c>
      <c r="P9" s="33">
        <f t="shared" si="3"/>
        <v>0</v>
      </c>
      <c r="Q9" s="33">
        <f t="shared" si="3"/>
        <v>0</v>
      </c>
      <c r="R9" s="33">
        <f t="shared" si="3"/>
        <v>0</v>
      </c>
      <c r="S9" s="33">
        <f t="shared" si="1"/>
        <v>0</v>
      </c>
      <c r="T9" s="5"/>
    </row>
    <row r="10" spans="1:20" x14ac:dyDescent="0.25">
      <c r="A10" s="40"/>
      <c r="B10" s="40"/>
      <c r="C10" s="35"/>
      <c r="D10" s="40"/>
      <c r="E10" s="42"/>
      <c r="F10" s="43"/>
      <c r="G10" s="44"/>
      <c r="H10" s="31">
        <f t="shared" ref="H10:R10" si="4">IF($E10&lt;I$4,($G10*1.3)/4,0)</f>
        <v>0</v>
      </c>
      <c r="I10" s="33">
        <f t="shared" si="4"/>
        <v>0</v>
      </c>
      <c r="J10" s="33">
        <f t="shared" si="4"/>
        <v>0</v>
      </c>
      <c r="K10" s="33">
        <f t="shared" si="4"/>
        <v>0</v>
      </c>
      <c r="L10" s="33">
        <f t="shared" si="4"/>
        <v>0</v>
      </c>
      <c r="M10" s="33">
        <f t="shared" si="4"/>
        <v>0</v>
      </c>
      <c r="N10" s="33">
        <f t="shared" si="4"/>
        <v>0</v>
      </c>
      <c r="O10" s="33">
        <f t="shared" si="4"/>
        <v>0</v>
      </c>
      <c r="P10" s="33">
        <f t="shared" si="4"/>
        <v>0</v>
      </c>
      <c r="Q10" s="33">
        <f t="shared" si="4"/>
        <v>0</v>
      </c>
      <c r="R10" s="33">
        <f t="shared" si="4"/>
        <v>0</v>
      </c>
      <c r="S10" s="33">
        <f t="shared" si="1"/>
        <v>0</v>
      </c>
      <c r="T10" s="5"/>
    </row>
    <row r="11" spans="1:20" x14ac:dyDescent="0.25">
      <c r="A11" s="40"/>
      <c r="B11" s="40"/>
      <c r="C11" s="35"/>
      <c r="D11" s="40"/>
      <c r="E11" s="42"/>
      <c r="F11" s="43"/>
      <c r="G11" s="44"/>
      <c r="H11" s="31">
        <f t="shared" ref="H11:R11" si="5">IF($E11&lt;I$4,($G11*1.3)/4,0)</f>
        <v>0</v>
      </c>
      <c r="I11" s="33">
        <f t="shared" si="5"/>
        <v>0</v>
      </c>
      <c r="J11" s="33">
        <f t="shared" si="5"/>
        <v>0</v>
      </c>
      <c r="K11" s="33">
        <f t="shared" si="5"/>
        <v>0</v>
      </c>
      <c r="L11" s="33">
        <f t="shared" si="5"/>
        <v>0</v>
      </c>
      <c r="M11" s="33">
        <f t="shared" si="5"/>
        <v>0</v>
      </c>
      <c r="N11" s="33">
        <f t="shared" si="5"/>
        <v>0</v>
      </c>
      <c r="O11" s="33">
        <f t="shared" si="5"/>
        <v>0</v>
      </c>
      <c r="P11" s="33">
        <f t="shared" si="5"/>
        <v>0</v>
      </c>
      <c r="Q11" s="33">
        <f t="shared" si="5"/>
        <v>0</v>
      </c>
      <c r="R11" s="33">
        <f t="shared" si="5"/>
        <v>0</v>
      </c>
      <c r="S11" s="33">
        <f t="shared" si="1"/>
        <v>0</v>
      </c>
      <c r="T11" s="5"/>
    </row>
    <row r="12" spans="1:20" x14ac:dyDescent="0.25">
      <c r="A12" s="40"/>
      <c r="B12" s="40"/>
      <c r="C12" s="35"/>
      <c r="D12" s="40"/>
      <c r="E12" s="42"/>
      <c r="F12" s="43"/>
      <c r="G12" s="44"/>
      <c r="H12" s="31">
        <f t="shared" ref="H12:R12" si="6">IF($E12&lt;I$4,($G12*1.3)/4,0)</f>
        <v>0</v>
      </c>
      <c r="I12" s="33">
        <f t="shared" si="6"/>
        <v>0</v>
      </c>
      <c r="J12" s="33">
        <f t="shared" si="6"/>
        <v>0</v>
      </c>
      <c r="K12" s="33">
        <f t="shared" si="6"/>
        <v>0</v>
      </c>
      <c r="L12" s="33">
        <f t="shared" si="6"/>
        <v>0</v>
      </c>
      <c r="M12" s="33">
        <f t="shared" si="6"/>
        <v>0</v>
      </c>
      <c r="N12" s="33">
        <f t="shared" si="6"/>
        <v>0</v>
      </c>
      <c r="O12" s="33">
        <f t="shared" si="6"/>
        <v>0</v>
      </c>
      <c r="P12" s="33">
        <f t="shared" si="6"/>
        <v>0</v>
      </c>
      <c r="Q12" s="33">
        <f t="shared" si="6"/>
        <v>0</v>
      </c>
      <c r="R12" s="33">
        <f t="shared" si="6"/>
        <v>0</v>
      </c>
      <c r="S12" s="33">
        <f t="shared" si="1"/>
        <v>0</v>
      </c>
      <c r="T12" s="5"/>
    </row>
    <row r="13" spans="1:20" x14ac:dyDescent="0.25">
      <c r="A13" s="40"/>
      <c r="B13" s="40"/>
      <c r="C13" s="35"/>
      <c r="D13" s="40"/>
      <c r="E13" s="42"/>
      <c r="F13" s="43"/>
      <c r="G13" s="44"/>
      <c r="H13" s="31">
        <f t="shared" ref="H13:R13" si="7">IF($E13&lt;I$4,($G13*1.3)/4,0)</f>
        <v>0</v>
      </c>
      <c r="I13" s="33">
        <f t="shared" si="7"/>
        <v>0</v>
      </c>
      <c r="J13" s="33">
        <f t="shared" si="7"/>
        <v>0</v>
      </c>
      <c r="K13" s="33">
        <f t="shared" si="7"/>
        <v>0</v>
      </c>
      <c r="L13" s="33">
        <f t="shared" si="7"/>
        <v>0</v>
      </c>
      <c r="M13" s="33">
        <f t="shared" si="7"/>
        <v>0</v>
      </c>
      <c r="N13" s="33">
        <f t="shared" si="7"/>
        <v>0</v>
      </c>
      <c r="O13" s="33">
        <f t="shared" si="7"/>
        <v>0</v>
      </c>
      <c r="P13" s="33">
        <f t="shared" si="7"/>
        <v>0</v>
      </c>
      <c r="Q13" s="33">
        <f t="shared" si="7"/>
        <v>0</v>
      </c>
      <c r="R13" s="33">
        <f t="shared" si="7"/>
        <v>0</v>
      </c>
      <c r="S13" s="33">
        <f t="shared" si="1"/>
        <v>0</v>
      </c>
      <c r="T13" s="5"/>
    </row>
    <row r="14" spans="1:20" x14ac:dyDescent="0.25">
      <c r="A14" s="40"/>
      <c r="B14" s="40"/>
      <c r="C14" s="35"/>
      <c r="D14" s="40"/>
      <c r="E14" s="42"/>
      <c r="F14" s="43"/>
      <c r="G14" s="44"/>
      <c r="H14" s="31">
        <f t="shared" ref="H14:R14" si="8">IF($E14&lt;I$4,($G14*1.3)/4,0)</f>
        <v>0</v>
      </c>
      <c r="I14" s="33">
        <f t="shared" si="8"/>
        <v>0</v>
      </c>
      <c r="J14" s="33">
        <f t="shared" si="8"/>
        <v>0</v>
      </c>
      <c r="K14" s="33">
        <f t="shared" si="8"/>
        <v>0</v>
      </c>
      <c r="L14" s="33">
        <f t="shared" si="8"/>
        <v>0</v>
      </c>
      <c r="M14" s="33">
        <f t="shared" si="8"/>
        <v>0</v>
      </c>
      <c r="N14" s="33">
        <f t="shared" si="8"/>
        <v>0</v>
      </c>
      <c r="O14" s="33">
        <f t="shared" si="8"/>
        <v>0</v>
      </c>
      <c r="P14" s="33">
        <f t="shared" si="8"/>
        <v>0</v>
      </c>
      <c r="Q14" s="33">
        <f t="shared" si="8"/>
        <v>0</v>
      </c>
      <c r="R14" s="33">
        <f t="shared" si="8"/>
        <v>0</v>
      </c>
      <c r="S14" s="33">
        <f t="shared" si="1"/>
        <v>0</v>
      </c>
      <c r="T14" s="5"/>
    </row>
    <row r="15" spans="1:20" x14ac:dyDescent="0.25">
      <c r="A15" s="40"/>
      <c r="B15" s="40"/>
      <c r="C15" s="35"/>
      <c r="D15" s="40"/>
      <c r="E15" s="42"/>
      <c r="F15" s="43"/>
      <c r="G15" s="44"/>
      <c r="H15" s="31">
        <f t="shared" ref="H15:R15" si="9">IF($E15&lt;I$4,($G15*1.3)/4,0)</f>
        <v>0</v>
      </c>
      <c r="I15" s="33">
        <f t="shared" si="9"/>
        <v>0</v>
      </c>
      <c r="J15" s="33">
        <f t="shared" si="9"/>
        <v>0</v>
      </c>
      <c r="K15" s="33">
        <f t="shared" si="9"/>
        <v>0</v>
      </c>
      <c r="L15" s="33">
        <f t="shared" si="9"/>
        <v>0</v>
      </c>
      <c r="M15" s="33">
        <f t="shared" si="9"/>
        <v>0</v>
      </c>
      <c r="N15" s="33">
        <f t="shared" si="9"/>
        <v>0</v>
      </c>
      <c r="O15" s="33">
        <f t="shared" si="9"/>
        <v>0</v>
      </c>
      <c r="P15" s="33">
        <f t="shared" si="9"/>
        <v>0</v>
      </c>
      <c r="Q15" s="33">
        <f t="shared" si="9"/>
        <v>0</v>
      </c>
      <c r="R15" s="33">
        <f t="shared" si="9"/>
        <v>0</v>
      </c>
      <c r="S15" s="33">
        <f t="shared" si="1"/>
        <v>0</v>
      </c>
      <c r="T15" s="5"/>
    </row>
    <row r="16" spans="1:20" x14ac:dyDescent="0.25">
      <c r="A16" s="40"/>
      <c r="B16" s="40"/>
      <c r="C16" s="35"/>
      <c r="D16" s="40"/>
      <c r="E16" s="42"/>
      <c r="F16" s="43"/>
      <c r="G16" s="44"/>
      <c r="H16" s="31">
        <f t="shared" ref="H16:R16" si="10">IF($E16&lt;I$4,($G16*1.3)/4,0)</f>
        <v>0</v>
      </c>
      <c r="I16" s="33">
        <f t="shared" si="10"/>
        <v>0</v>
      </c>
      <c r="J16" s="33">
        <f t="shared" si="10"/>
        <v>0</v>
      </c>
      <c r="K16" s="33">
        <f t="shared" si="10"/>
        <v>0</v>
      </c>
      <c r="L16" s="33">
        <f t="shared" si="10"/>
        <v>0</v>
      </c>
      <c r="M16" s="33">
        <f t="shared" si="10"/>
        <v>0</v>
      </c>
      <c r="N16" s="33">
        <f t="shared" si="10"/>
        <v>0</v>
      </c>
      <c r="O16" s="33">
        <f t="shared" si="10"/>
        <v>0</v>
      </c>
      <c r="P16" s="33">
        <f t="shared" si="10"/>
        <v>0</v>
      </c>
      <c r="Q16" s="33">
        <f t="shared" si="10"/>
        <v>0</v>
      </c>
      <c r="R16" s="33">
        <f t="shared" si="10"/>
        <v>0</v>
      </c>
      <c r="S16" s="33">
        <f t="shared" si="1"/>
        <v>0</v>
      </c>
      <c r="T16" s="5"/>
    </row>
    <row r="17" spans="1:20" x14ac:dyDescent="0.25">
      <c r="A17" s="40"/>
      <c r="B17" s="40"/>
      <c r="C17" s="35"/>
      <c r="D17" s="40"/>
      <c r="E17" s="40"/>
      <c r="F17" s="43"/>
      <c r="G17" s="44"/>
      <c r="H17" s="31">
        <f t="shared" ref="H17:R17" si="11">IF($E17&lt;I$4,($G17*1.3)/4,0)</f>
        <v>0</v>
      </c>
      <c r="I17" s="33">
        <f t="shared" si="11"/>
        <v>0</v>
      </c>
      <c r="J17" s="33">
        <f t="shared" si="11"/>
        <v>0</v>
      </c>
      <c r="K17" s="33">
        <f t="shared" si="11"/>
        <v>0</v>
      </c>
      <c r="L17" s="33">
        <f t="shared" si="11"/>
        <v>0</v>
      </c>
      <c r="M17" s="33">
        <f t="shared" si="11"/>
        <v>0</v>
      </c>
      <c r="N17" s="33">
        <f t="shared" si="11"/>
        <v>0</v>
      </c>
      <c r="O17" s="33">
        <f t="shared" si="11"/>
        <v>0</v>
      </c>
      <c r="P17" s="33">
        <f t="shared" si="11"/>
        <v>0</v>
      </c>
      <c r="Q17" s="33">
        <f t="shared" si="11"/>
        <v>0</v>
      </c>
      <c r="R17" s="33">
        <f t="shared" si="11"/>
        <v>0</v>
      </c>
      <c r="S17" s="33">
        <f t="shared" si="1"/>
        <v>0</v>
      </c>
      <c r="T17" s="5"/>
    </row>
    <row r="18" spans="1:20" x14ac:dyDescent="0.25">
      <c r="A18" s="40"/>
      <c r="B18" s="40"/>
      <c r="C18" s="35"/>
      <c r="D18" s="40"/>
      <c r="E18" s="40"/>
      <c r="F18" s="43"/>
      <c r="G18" s="44"/>
      <c r="H18" s="31">
        <f t="shared" ref="H18:R18" si="12">IF($E18&lt;I$4,($G18*1.3)/4,0)</f>
        <v>0</v>
      </c>
      <c r="I18" s="33">
        <f t="shared" si="12"/>
        <v>0</v>
      </c>
      <c r="J18" s="33">
        <f t="shared" si="12"/>
        <v>0</v>
      </c>
      <c r="K18" s="33">
        <f t="shared" si="12"/>
        <v>0</v>
      </c>
      <c r="L18" s="33">
        <f t="shared" si="12"/>
        <v>0</v>
      </c>
      <c r="M18" s="33">
        <f t="shared" si="12"/>
        <v>0</v>
      </c>
      <c r="N18" s="33">
        <f t="shared" si="12"/>
        <v>0</v>
      </c>
      <c r="O18" s="33">
        <f t="shared" si="12"/>
        <v>0</v>
      </c>
      <c r="P18" s="33">
        <f t="shared" si="12"/>
        <v>0</v>
      </c>
      <c r="Q18" s="33">
        <f t="shared" si="12"/>
        <v>0</v>
      </c>
      <c r="R18" s="33">
        <f t="shared" si="12"/>
        <v>0</v>
      </c>
      <c r="S18" s="33">
        <f t="shared" si="1"/>
        <v>0</v>
      </c>
      <c r="T18" s="5"/>
    </row>
    <row r="19" spans="1:20" x14ac:dyDescent="0.25">
      <c r="A19" s="40"/>
      <c r="B19" s="40"/>
      <c r="C19" s="35"/>
      <c r="D19" s="40"/>
      <c r="E19" s="40"/>
      <c r="F19" s="43"/>
      <c r="G19" s="44"/>
      <c r="H19" s="31">
        <f t="shared" ref="H19:R19" si="13">IF($E19&lt;I$4,($G19*1.3)/4,0)</f>
        <v>0</v>
      </c>
      <c r="I19" s="33">
        <f t="shared" si="13"/>
        <v>0</v>
      </c>
      <c r="J19" s="33">
        <f t="shared" si="13"/>
        <v>0</v>
      </c>
      <c r="K19" s="33">
        <f t="shared" si="13"/>
        <v>0</v>
      </c>
      <c r="L19" s="33">
        <f t="shared" si="13"/>
        <v>0</v>
      </c>
      <c r="M19" s="33">
        <f t="shared" si="13"/>
        <v>0</v>
      </c>
      <c r="N19" s="33">
        <f t="shared" si="13"/>
        <v>0</v>
      </c>
      <c r="O19" s="33">
        <f t="shared" si="13"/>
        <v>0</v>
      </c>
      <c r="P19" s="33">
        <f t="shared" si="13"/>
        <v>0</v>
      </c>
      <c r="Q19" s="33">
        <f t="shared" si="13"/>
        <v>0</v>
      </c>
      <c r="R19" s="33">
        <f t="shared" si="13"/>
        <v>0</v>
      </c>
      <c r="S19" s="33">
        <f t="shared" si="1"/>
        <v>0</v>
      </c>
      <c r="T19" s="5"/>
    </row>
    <row r="20" spans="1:20" x14ac:dyDescent="0.25">
      <c r="A20" s="40"/>
      <c r="B20" s="40"/>
      <c r="C20" s="35"/>
      <c r="D20" s="40"/>
      <c r="E20" s="43"/>
      <c r="F20" s="43"/>
      <c r="G20" s="44"/>
      <c r="H20" s="31">
        <f t="shared" ref="H20:R20" si="14">IF($E20&lt;I$4,($G20*1.3)/4,0)</f>
        <v>0</v>
      </c>
      <c r="I20" s="33">
        <f t="shared" si="14"/>
        <v>0</v>
      </c>
      <c r="J20" s="33">
        <f t="shared" si="14"/>
        <v>0</v>
      </c>
      <c r="K20" s="33">
        <f t="shared" si="14"/>
        <v>0</v>
      </c>
      <c r="L20" s="33">
        <f t="shared" si="14"/>
        <v>0</v>
      </c>
      <c r="M20" s="33">
        <f t="shared" si="14"/>
        <v>0</v>
      </c>
      <c r="N20" s="33">
        <f t="shared" si="14"/>
        <v>0</v>
      </c>
      <c r="O20" s="33">
        <f t="shared" si="14"/>
        <v>0</v>
      </c>
      <c r="P20" s="33">
        <f t="shared" si="14"/>
        <v>0</v>
      </c>
      <c r="Q20" s="33">
        <f t="shared" si="14"/>
        <v>0</v>
      </c>
      <c r="R20" s="33">
        <f t="shared" si="14"/>
        <v>0</v>
      </c>
      <c r="S20" s="33">
        <f t="shared" si="1"/>
        <v>0</v>
      </c>
      <c r="T20" s="5"/>
    </row>
    <row r="21" spans="1:20" x14ac:dyDescent="0.25">
      <c r="A21" s="40"/>
      <c r="B21" s="40"/>
      <c r="C21" s="35"/>
      <c r="D21" s="40"/>
      <c r="E21" s="43"/>
      <c r="F21" s="43"/>
      <c r="G21" s="44"/>
      <c r="H21" s="31">
        <f t="shared" ref="H21:R21" si="15">IF($E21&lt;I$4,($G21*1.3)/4,0)</f>
        <v>0</v>
      </c>
      <c r="I21" s="33">
        <f t="shared" si="15"/>
        <v>0</v>
      </c>
      <c r="J21" s="33">
        <f t="shared" si="15"/>
        <v>0</v>
      </c>
      <c r="K21" s="33">
        <f t="shared" si="15"/>
        <v>0</v>
      </c>
      <c r="L21" s="33">
        <f t="shared" si="15"/>
        <v>0</v>
      </c>
      <c r="M21" s="33">
        <f t="shared" si="15"/>
        <v>0</v>
      </c>
      <c r="N21" s="33">
        <f t="shared" si="15"/>
        <v>0</v>
      </c>
      <c r="O21" s="33">
        <f t="shared" si="15"/>
        <v>0</v>
      </c>
      <c r="P21" s="33">
        <f t="shared" si="15"/>
        <v>0</v>
      </c>
      <c r="Q21" s="33">
        <f t="shared" si="15"/>
        <v>0</v>
      </c>
      <c r="R21" s="33">
        <f t="shared" si="15"/>
        <v>0</v>
      </c>
      <c r="S21" s="33">
        <f t="shared" si="1"/>
        <v>0</v>
      </c>
      <c r="T21" s="5"/>
    </row>
    <row r="22" spans="1:20" x14ac:dyDescent="0.25">
      <c r="A22" s="66"/>
      <c r="B22" s="66"/>
      <c r="C22" s="76"/>
      <c r="D22" s="77"/>
      <c r="E22" s="66"/>
      <c r="F22" s="66"/>
      <c r="G22" s="79"/>
      <c r="H22" s="31">
        <f t="shared" ref="H22:R22" si="16">IF($E22&lt;I$4,($G22*1.3)/4,0)</f>
        <v>0</v>
      </c>
      <c r="I22" s="33">
        <f t="shared" si="16"/>
        <v>0</v>
      </c>
      <c r="J22" s="33">
        <f t="shared" si="16"/>
        <v>0</v>
      </c>
      <c r="K22" s="33">
        <f t="shared" si="16"/>
        <v>0</v>
      </c>
      <c r="L22" s="33">
        <f t="shared" si="16"/>
        <v>0</v>
      </c>
      <c r="M22" s="33">
        <f t="shared" si="16"/>
        <v>0</v>
      </c>
      <c r="N22" s="33">
        <f t="shared" si="16"/>
        <v>0</v>
      </c>
      <c r="O22" s="33">
        <f t="shared" si="16"/>
        <v>0</v>
      </c>
      <c r="P22" s="33">
        <f t="shared" si="16"/>
        <v>0</v>
      </c>
      <c r="Q22" s="33">
        <f t="shared" si="16"/>
        <v>0</v>
      </c>
      <c r="R22" s="33">
        <f t="shared" si="16"/>
        <v>0</v>
      </c>
      <c r="S22" s="33">
        <f t="shared" si="1"/>
        <v>0</v>
      </c>
      <c r="T22" s="5"/>
    </row>
    <row r="23" spans="1:20" x14ac:dyDescent="0.25">
      <c r="A23" s="66"/>
      <c r="B23" s="66"/>
      <c r="C23" s="76"/>
      <c r="D23" s="77"/>
      <c r="E23" s="66"/>
      <c r="F23" s="66"/>
      <c r="G23" s="79"/>
      <c r="H23" s="31">
        <f t="shared" ref="H23:R23" si="17">IF($E23&lt;I$4,($G23*1.3)/4,0)</f>
        <v>0</v>
      </c>
      <c r="I23" s="33">
        <f t="shared" si="17"/>
        <v>0</v>
      </c>
      <c r="J23" s="33">
        <f t="shared" si="17"/>
        <v>0</v>
      </c>
      <c r="K23" s="33">
        <f t="shared" si="17"/>
        <v>0</v>
      </c>
      <c r="L23" s="33">
        <f t="shared" si="17"/>
        <v>0</v>
      </c>
      <c r="M23" s="33">
        <f t="shared" si="17"/>
        <v>0</v>
      </c>
      <c r="N23" s="33">
        <f t="shared" si="17"/>
        <v>0</v>
      </c>
      <c r="O23" s="33">
        <f t="shared" si="17"/>
        <v>0</v>
      </c>
      <c r="P23" s="33">
        <f t="shared" si="17"/>
        <v>0</v>
      </c>
      <c r="Q23" s="33">
        <f t="shared" si="17"/>
        <v>0</v>
      </c>
      <c r="R23" s="33">
        <f t="shared" si="17"/>
        <v>0</v>
      </c>
      <c r="S23" s="33">
        <f t="shared" si="1"/>
        <v>0</v>
      </c>
      <c r="T23" s="5"/>
    </row>
    <row r="24" spans="1:20" x14ac:dyDescent="0.25">
      <c r="A24" s="66"/>
      <c r="B24" s="66"/>
      <c r="C24" s="76"/>
      <c r="D24" s="77"/>
      <c r="E24" s="66"/>
      <c r="F24" s="66"/>
      <c r="G24" s="79"/>
      <c r="H24" s="31">
        <f t="shared" ref="H24:R24" si="18">IF($E24&lt;I$4,($G24*1.3)/4,0)</f>
        <v>0</v>
      </c>
      <c r="I24" s="33">
        <f t="shared" si="18"/>
        <v>0</v>
      </c>
      <c r="J24" s="33">
        <f t="shared" si="18"/>
        <v>0</v>
      </c>
      <c r="K24" s="33">
        <f t="shared" si="18"/>
        <v>0</v>
      </c>
      <c r="L24" s="33">
        <f t="shared" si="18"/>
        <v>0</v>
      </c>
      <c r="M24" s="33">
        <f t="shared" si="18"/>
        <v>0</v>
      </c>
      <c r="N24" s="33">
        <f t="shared" si="18"/>
        <v>0</v>
      </c>
      <c r="O24" s="33">
        <f t="shared" si="18"/>
        <v>0</v>
      </c>
      <c r="P24" s="33">
        <f t="shared" si="18"/>
        <v>0</v>
      </c>
      <c r="Q24" s="33">
        <f t="shared" si="18"/>
        <v>0</v>
      </c>
      <c r="R24" s="33">
        <f t="shared" si="18"/>
        <v>0</v>
      </c>
      <c r="S24" s="33">
        <f t="shared" si="1"/>
        <v>0</v>
      </c>
      <c r="T24" s="5"/>
    </row>
    <row r="25" spans="1:20" x14ac:dyDescent="0.25">
      <c r="A25" s="50"/>
      <c r="B25" s="50"/>
      <c r="C25" s="50"/>
      <c r="D25" s="50"/>
      <c r="E25" s="50"/>
      <c r="F25" s="50"/>
      <c r="G25" s="50"/>
      <c r="H25" s="81">
        <f t="shared" ref="H25:S25" si="19">SUM(H6:H24)</f>
        <v>0</v>
      </c>
      <c r="I25" s="82">
        <f t="shared" si="19"/>
        <v>0</v>
      </c>
      <c r="J25" s="82">
        <f t="shared" si="19"/>
        <v>0</v>
      </c>
      <c r="K25" s="82">
        <f t="shared" si="19"/>
        <v>0</v>
      </c>
      <c r="L25" s="82">
        <f t="shared" si="19"/>
        <v>0</v>
      </c>
      <c r="M25" s="82">
        <f t="shared" si="19"/>
        <v>0</v>
      </c>
      <c r="N25" s="82">
        <f t="shared" si="19"/>
        <v>0</v>
      </c>
      <c r="O25" s="82">
        <f t="shared" si="19"/>
        <v>0</v>
      </c>
      <c r="P25" s="82">
        <f t="shared" si="19"/>
        <v>0</v>
      </c>
      <c r="Q25" s="82">
        <f t="shared" si="19"/>
        <v>0</v>
      </c>
      <c r="R25" s="82">
        <f t="shared" si="19"/>
        <v>0</v>
      </c>
      <c r="S25" s="82">
        <f t="shared" si="19"/>
        <v>0</v>
      </c>
      <c r="T25" s="5"/>
    </row>
    <row r="26" spans="1:20" x14ac:dyDescent="0.25">
      <c r="B26" s="5"/>
      <c r="C26" s="5"/>
      <c r="D26" s="5"/>
      <c r="E26" s="5"/>
      <c r="F26" s="5"/>
      <c r="G26" s="5"/>
      <c r="H26" s="5"/>
      <c r="I26" s="5"/>
      <c r="J26" s="5"/>
      <c r="K26" s="5"/>
      <c r="L26" s="5"/>
      <c r="M26" s="5"/>
      <c r="N26" s="5"/>
      <c r="O26" s="5"/>
      <c r="P26" s="5"/>
      <c r="Q26" s="5"/>
      <c r="R26" s="5"/>
      <c r="S26" s="5"/>
    </row>
    <row r="27" spans="1:20" ht="15" customHeight="1" x14ac:dyDescent="0.3">
      <c r="A27" s="7" t="s">
        <v>67</v>
      </c>
      <c r="B27" s="5"/>
      <c r="C27" s="5"/>
      <c r="D27" s="5"/>
      <c r="E27" s="5"/>
      <c r="F27" s="5"/>
      <c r="G27" s="5"/>
      <c r="H27" s="790">
        <v>2019</v>
      </c>
      <c r="I27" s="789"/>
      <c r="J27" s="787">
        <v>2020</v>
      </c>
      <c r="K27" s="788"/>
      <c r="L27" s="788"/>
      <c r="M27" s="789"/>
      <c r="N27" s="787">
        <v>2021</v>
      </c>
      <c r="O27" s="788"/>
      <c r="P27" s="788"/>
      <c r="Q27" s="789"/>
      <c r="R27" s="790">
        <v>2022</v>
      </c>
      <c r="S27" s="789"/>
    </row>
    <row r="28" spans="1:20" ht="30" x14ac:dyDescent="0.25">
      <c r="A28" s="54" t="s">
        <v>8</v>
      </c>
      <c r="B28" s="54" t="s">
        <v>11</v>
      </c>
      <c r="C28" s="54" t="s">
        <v>71</v>
      </c>
      <c r="D28" s="791" t="s">
        <v>72</v>
      </c>
      <c r="E28" s="792"/>
      <c r="F28" s="793"/>
      <c r="G28" s="55" t="s">
        <v>73</v>
      </c>
      <c r="H28" s="18" t="s">
        <v>10</v>
      </c>
      <c r="I28" s="20" t="s">
        <v>17</v>
      </c>
      <c r="J28" s="22" t="s">
        <v>18</v>
      </c>
      <c r="K28" s="18" t="s">
        <v>19</v>
      </c>
      <c r="L28" s="18" t="s">
        <v>10</v>
      </c>
      <c r="M28" s="20" t="s">
        <v>17</v>
      </c>
      <c r="N28" s="22" t="s">
        <v>18</v>
      </c>
      <c r="O28" s="18" t="s">
        <v>19</v>
      </c>
      <c r="P28" s="18" t="s">
        <v>10</v>
      </c>
      <c r="Q28" s="20" t="s">
        <v>17</v>
      </c>
      <c r="R28" s="22" t="s">
        <v>18</v>
      </c>
      <c r="S28" s="18" t="s">
        <v>19</v>
      </c>
    </row>
    <row r="29" spans="1:20" x14ac:dyDescent="0.25">
      <c r="A29" s="40" t="s">
        <v>23</v>
      </c>
      <c r="B29" s="40" t="s">
        <v>42</v>
      </c>
      <c r="C29" s="40" t="s">
        <v>110</v>
      </c>
      <c r="D29" s="799" t="s">
        <v>119</v>
      </c>
      <c r="E29" s="795"/>
      <c r="F29" s="795"/>
      <c r="G29" s="129" t="s">
        <v>120</v>
      </c>
      <c r="H29" s="57"/>
      <c r="I29" s="57"/>
      <c r="J29" s="57"/>
      <c r="K29" s="57"/>
      <c r="L29" s="57"/>
      <c r="M29" s="57"/>
      <c r="N29" s="57"/>
      <c r="O29" s="57"/>
      <c r="P29" s="57"/>
      <c r="Q29" s="57"/>
      <c r="R29" s="57"/>
      <c r="S29" s="57"/>
    </row>
    <row r="30" spans="1:20" x14ac:dyDescent="0.25">
      <c r="A30" s="40"/>
      <c r="B30" s="40"/>
      <c r="C30" s="40"/>
      <c r="D30" s="794"/>
      <c r="E30" s="795"/>
      <c r="F30" s="796"/>
      <c r="G30" s="58"/>
      <c r="H30" s="56"/>
      <c r="I30" s="57"/>
      <c r="J30" s="57"/>
      <c r="K30" s="57"/>
      <c r="L30" s="57"/>
      <c r="M30" s="57"/>
      <c r="N30" s="57"/>
      <c r="O30" s="57"/>
      <c r="P30" s="57"/>
      <c r="Q30" s="57"/>
      <c r="R30" s="57"/>
      <c r="S30" s="57"/>
    </row>
    <row r="31" spans="1:20" x14ac:dyDescent="0.25">
      <c r="A31" s="40"/>
      <c r="B31" s="40"/>
      <c r="C31" s="40"/>
      <c r="D31" s="794"/>
      <c r="E31" s="795"/>
      <c r="F31" s="796"/>
      <c r="G31" s="58"/>
      <c r="H31" s="56"/>
      <c r="I31" s="59"/>
      <c r="J31" s="57"/>
      <c r="K31" s="57"/>
      <c r="L31" s="57"/>
      <c r="M31" s="57"/>
      <c r="N31" s="57"/>
      <c r="O31" s="57"/>
      <c r="P31" s="57"/>
      <c r="Q31" s="57"/>
      <c r="R31" s="57"/>
      <c r="S31" s="57"/>
    </row>
    <row r="32" spans="1:20" x14ac:dyDescent="0.25">
      <c r="A32" s="40"/>
      <c r="B32" s="40"/>
      <c r="C32" s="40"/>
      <c r="D32" s="794"/>
      <c r="E32" s="795"/>
      <c r="F32" s="796"/>
      <c r="G32" s="58"/>
      <c r="H32" s="56"/>
      <c r="I32" s="59"/>
      <c r="J32" s="57"/>
      <c r="K32" s="57"/>
      <c r="L32" s="57"/>
      <c r="M32" s="57"/>
      <c r="N32" s="57"/>
      <c r="O32" s="57"/>
      <c r="P32" s="57"/>
      <c r="Q32" s="57"/>
      <c r="R32" s="57"/>
      <c r="S32" s="57"/>
    </row>
    <row r="33" spans="1:19" x14ac:dyDescent="0.25">
      <c r="A33" s="40"/>
      <c r="B33" s="40"/>
      <c r="C33" s="40"/>
      <c r="D33" s="794"/>
      <c r="E33" s="795"/>
      <c r="F33" s="796"/>
      <c r="G33" s="58"/>
      <c r="H33" s="56"/>
      <c r="I33" s="59"/>
      <c r="J33" s="57"/>
      <c r="K33" s="57"/>
      <c r="L33" s="57"/>
      <c r="M33" s="57"/>
      <c r="N33" s="57"/>
      <c r="O33" s="57"/>
      <c r="P33" s="57"/>
      <c r="Q33" s="57"/>
      <c r="R33" s="57"/>
      <c r="S33" s="57"/>
    </row>
    <row r="34" spans="1:19" x14ac:dyDescent="0.25">
      <c r="A34" s="40"/>
      <c r="B34" s="40"/>
      <c r="C34" s="40"/>
      <c r="D34" s="794"/>
      <c r="E34" s="795"/>
      <c r="F34" s="796"/>
      <c r="G34" s="58"/>
      <c r="H34" s="56"/>
      <c r="I34" s="59"/>
      <c r="J34" s="57"/>
      <c r="K34" s="57"/>
      <c r="L34" s="57"/>
      <c r="M34" s="57"/>
      <c r="N34" s="57"/>
      <c r="O34" s="57"/>
      <c r="P34" s="57"/>
      <c r="Q34" s="57"/>
      <c r="R34" s="57"/>
      <c r="S34" s="57"/>
    </row>
    <row r="35" spans="1:19" x14ac:dyDescent="0.25">
      <c r="A35" s="40"/>
      <c r="B35" s="40"/>
      <c r="C35" s="60"/>
      <c r="D35" s="794"/>
      <c r="E35" s="795"/>
      <c r="F35" s="796"/>
      <c r="G35" s="58"/>
      <c r="H35" s="63"/>
      <c r="I35" s="57"/>
      <c r="J35" s="57"/>
      <c r="K35" s="57"/>
      <c r="L35" s="57"/>
      <c r="M35" s="57"/>
      <c r="N35" s="57"/>
      <c r="O35" s="57"/>
      <c r="P35" s="57"/>
      <c r="Q35" s="57"/>
      <c r="R35" s="57"/>
      <c r="S35" s="57"/>
    </row>
    <row r="36" spans="1:19" x14ac:dyDescent="0.25">
      <c r="A36" s="40"/>
      <c r="B36" s="40"/>
      <c r="C36" s="60"/>
      <c r="D36" s="794"/>
      <c r="E36" s="795"/>
      <c r="F36" s="796"/>
      <c r="G36" s="58"/>
      <c r="H36" s="63"/>
      <c r="I36" s="57"/>
      <c r="J36" s="57"/>
      <c r="K36" s="57"/>
      <c r="L36" s="57"/>
      <c r="M36" s="57"/>
      <c r="N36" s="57"/>
      <c r="O36" s="57"/>
      <c r="P36" s="57"/>
      <c r="Q36" s="57"/>
      <c r="R36" s="57"/>
      <c r="S36" s="57"/>
    </row>
    <row r="37" spans="1:19" x14ac:dyDescent="0.25">
      <c r="A37" s="40"/>
      <c r="B37" s="40"/>
      <c r="C37" s="60"/>
      <c r="D37" s="794"/>
      <c r="E37" s="795"/>
      <c r="F37" s="796"/>
      <c r="G37" s="58"/>
      <c r="H37" s="63"/>
      <c r="I37" s="57"/>
      <c r="J37" s="57"/>
      <c r="K37" s="57"/>
      <c r="L37" s="57"/>
      <c r="M37" s="57"/>
      <c r="N37" s="57"/>
      <c r="O37" s="57"/>
      <c r="P37" s="57"/>
      <c r="Q37" s="57"/>
      <c r="R37" s="57"/>
      <c r="S37" s="57"/>
    </row>
    <row r="38" spans="1:19" x14ac:dyDescent="0.25">
      <c r="A38" s="40"/>
      <c r="B38" s="40"/>
      <c r="C38" s="40"/>
      <c r="D38" s="794"/>
      <c r="E38" s="795"/>
      <c r="F38" s="796"/>
      <c r="G38" s="58"/>
      <c r="H38" s="63"/>
      <c r="I38" s="57"/>
      <c r="J38" s="57"/>
      <c r="K38" s="57"/>
      <c r="L38" s="57"/>
      <c r="M38" s="57"/>
      <c r="N38" s="57"/>
      <c r="O38" s="57"/>
      <c r="P38" s="57"/>
      <c r="Q38" s="57"/>
      <c r="R38" s="57"/>
      <c r="S38" s="57"/>
    </row>
    <row r="39" spans="1:19" x14ac:dyDescent="0.25">
      <c r="A39" s="66"/>
      <c r="B39" s="40"/>
      <c r="C39" s="40"/>
      <c r="D39" s="794"/>
      <c r="E39" s="795"/>
      <c r="F39" s="796"/>
      <c r="G39" s="68"/>
      <c r="H39" s="69"/>
      <c r="I39" s="70"/>
      <c r="J39" s="70"/>
      <c r="K39" s="70"/>
      <c r="L39" s="70"/>
      <c r="M39" s="70"/>
      <c r="N39" s="70"/>
      <c r="O39" s="70"/>
      <c r="P39" s="70"/>
      <c r="Q39" s="70"/>
      <c r="R39" s="70"/>
      <c r="S39" s="70"/>
    </row>
    <row r="40" spans="1:19" x14ac:dyDescent="0.25">
      <c r="A40" s="66"/>
      <c r="B40" s="66"/>
      <c r="C40" s="66"/>
      <c r="D40" s="794"/>
      <c r="E40" s="795"/>
      <c r="F40" s="796"/>
      <c r="G40" s="72"/>
      <c r="H40" s="74"/>
      <c r="I40" s="75"/>
      <c r="J40" s="75"/>
      <c r="K40" s="75"/>
      <c r="L40" s="75"/>
      <c r="M40" s="75"/>
      <c r="N40" s="75"/>
      <c r="O40" s="75"/>
      <c r="P40" s="75"/>
      <c r="Q40" s="75"/>
      <c r="R40" s="75"/>
      <c r="S40" s="75"/>
    </row>
    <row r="41" spans="1:19" x14ac:dyDescent="0.25">
      <c r="G41" s="108">
        <f>SUM(G29:G40)</f>
        <v>0</v>
      </c>
      <c r="H41" s="109">
        <f t="shared" ref="H41:S41" si="20">SUM(H29:H34)</f>
        <v>0</v>
      </c>
      <c r="I41" s="108">
        <f t="shared" si="20"/>
        <v>0</v>
      </c>
      <c r="J41" s="108">
        <f t="shared" si="20"/>
        <v>0</v>
      </c>
      <c r="K41" s="108">
        <f t="shared" si="20"/>
        <v>0</v>
      </c>
      <c r="L41" s="108">
        <f t="shared" si="20"/>
        <v>0</v>
      </c>
      <c r="M41" s="108">
        <f t="shared" si="20"/>
        <v>0</v>
      </c>
      <c r="N41" s="108">
        <f t="shared" si="20"/>
        <v>0</v>
      </c>
      <c r="O41" s="108">
        <f t="shared" si="20"/>
        <v>0</v>
      </c>
      <c r="P41" s="108">
        <f t="shared" si="20"/>
        <v>0</v>
      </c>
      <c r="Q41" s="108">
        <f t="shared" si="20"/>
        <v>0</v>
      </c>
      <c r="R41" s="108">
        <f t="shared" si="20"/>
        <v>0</v>
      </c>
      <c r="S41" s="108">
        <f t="shared" si="20"/>
        <v>0</v>
      </c>
    </row>
  </sheetData>
  <mergeCells count="21">
    <mergeCell ref="D28:F28"/>
    <mergeCell ref="D29:F29"/>
    <mergeCell ref="D32:F32"/>
    <mergeCell ref="D38:F38"/>
    <mergeCell ref="D39:F39"/>
    <mergeCell ref="D40:F40"/>
    <mergeCell ref="D30:F30"/>
    <mergeCell ref="D31:F31"/>
    <mergeCell ref="D33:F33"/>
    <mergeCell ref="D35:F35"/>
    <mergeCell ref="D34:F34"/>
    <mergeCell ref="D37:F37"/>
    <mergeCell ref="D36:F36"/>
    <mergeCell ref="N3:Q3"/>
    <mergeCell ref="R3:S3"/>
    <mergeCell ref="J3:M3"/>
    <mergeCell ref="H3:I3"/>
    <mergeCell ref="J27:M27"/>
    <mergeCell ref="N27:Q27"/>
    <mergeCell ref="R27:S27"/>
    <mergeCell ref="H27:I27"/>
  </mergeCells>
  <pageMargins left="0.7" right="0.7" top="0.75" bottom="0.75" header="0" footer="0"/>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T41"/>
  <sheetViews>
    <sheetView showGridLines="0" workbookViewId="0"/>
  </sheetViews>
  <sheetFormatPr defaultColWidth="14.42578125" defaultRowHeight="15" customHeight="1" outlineLevelRow="1" x14ac:dyDescent="0.25"/>
  <cols>
    <col min="1" max="1" width="17.42578125" customWidth="1"/>
    <col min="2" max="2" width="29.140625" customWidth="1"/>
    <col min="3" max="3" width="20.85546875" customWidth="1"/>
    <col min="4" max="4" width="20.7109375" customWidth="1"/>
    <col min="5" max="6" width="17.140625" customWidth="1"/>
    <col min="7" max="7" width="17.28515625" customWidth="1"/>
    <col min="8" max="19" width="9.85546875" customWidth="1"/>
    <col min="20" max="20" width="7.85546875" customWidth="1"/>
    <col min="21" max="27" width="15.85546875" customWidth="1"/>
  </cols>
  <sheetData>
    <row r="1" spans="1:20" ht="23.25" x14ac:dyDescent="0.35">
      <c r="A1" s="1" t="s">
        <v>2</v>
      </c>
    </row>
    <row r="2" spans="1:20" x14ac:dyDescent="0.25">
      <c r="I2" s="5"/>
      <c r="J2" s="6"/>
      <c r="K2" s="5"/>
      <c r="L2" s="5"/>
      <c r="M2" s="5"/>
      <c r="N2" s="6"/>
      <c r="O2" s="5"/>
      <c r="P2" s="5"/>
      <c r="Q2" s="5"/>
      <c r="R2" s="6"/>
      <c r="S2" s="5"/>
      <c r="T2" s="5"/>
    </row>
    <row r="3" spans="1:20" ht="18.75" x14ac:dyDescent="0.3">
      <c r="A3" s="7" t="s">
        <v>4</v>
      </c>
      <c r="H3" s="790">
        <v>2019</v>
      </c>
      <c r="I3" s="789"/>
      <c r="J3" s="787">
        <v>2020</v>
      </c>
      <c r="K3" s="788"/>
      <c r="L3" s="788"/>
      <c r="M3" s="789"/>
      <c r="N3" s="787">
        <v>2021</v>
      </c>
      <c r="O3" s="788"/>
      <c r="P3" s="788"/>
      <c r="Q3" s="789"/>
      <c r="R3" s="790">
        <v>2022</v>
      </c>
      <c r="S3" s="789"/>
      <c r="T3" s="5"/>
    </row>
    <row r="4" spans="1:20" hidden="1" outlineLevel="1" x14ac:dyDescent="0.25">
      <c r="A4" s="8"/>
      <c r="B4" s="8"/>
      <c r="C4" s="8"/>
      <c r="D4" s="11"/>
      <c r="E4" s="8"/>
      <c r="F4" s="8"/>
      <c r="G4" s="11"/>
      <c r="H4" s="13">
        <v>43647</v>
      </c>
      <c r="I4" s="13">
        <v>43739</v>
      </c>
      <c r="J4" s="13">
        <v>43831</v>
      </c>
      <c r="K4" s="13">
        <v>43922</v>
      </c>
      <c r="L4" s="13">
        <v>44013</v>
      </c>
      <c r="M4" s="13">
        <v>44105</v>
      </c>
      <c r="N4" s="13">
        <v>44197</v>
      </c>
      <c r="O4" s="13">
        <v>44287</v>
      </c>
      <c r="P4" s="13">
        <v>44378</v>
      </c>
      <c r="Q4" s="13">
        <v>44470</v>
      </c>
      <c r="R4" s="13">
        <v>44562</v>
      </c>
      <c r="S4" s="13">
        <v>44652</v>
      </c>
      <c r="T4" s="5"/>
    </row>
    <row r="5" spans="1:20" ht="30" collapsed="1" x14ac:dyDescent="0.25">
      <c r="A5" s="15" t="s">
        <v>8</v>
      </c>
      <c r="B5" s="15" t="s">
        <v>11</v>
      </c>
      <c r="C5" s="15" t="s">
        <v>12</v>
      </c>
      <c r="D5" s="16" t="s">
        <v>13</v>
      </c>
      <c r="E5" s="17" t="s">
        <v>14</v>
      </c>
      <c r="F5" s="17" t="s">
        <v>15</v>
      </c>
      <c r="G5" s="16" t="s">
        <v>16</v>
      </c>
      <c r="H5" s="19" t="s">
        <v>10</v>
      </c>
      <c r="I5" s="21" t="s">
        <v>17</v>
      </c>
      <c r="J5" s="23" t="s">
        <v>18</v>
      </c>
      <c r="K5" s="25" t="s">
        <v>19</v>
      </c>
      <c r="L5" s="25" t="s">
        <v>10</v>
      </c>
      <c r="M5" s="21" t="s">
        <v>17</v>
      </c>
      <c r="N5" s="23" t="s">
        <v>18</v>
      </c>
      <c r="O5" s="25" t="s">
        <v>19</v>
      </c>
      <c r="P5" s="25" t="s">
        <v>10</v>
      </c>
      <c r="Q5" s="21" t="s">
        <v>17</v>
      </c>
      <c r="R5" s="23" t="s">
        <v>18</v>
      </c>
      <c r="S5" s="25" t="s">
        <v>19</v>
      </c>
      <c r="T5" s="5"/>
    </row>
    <row r="6" spans="1:20" x14ac:dyDescent="0.25">
      <c r="A6" s="27"/>
      <c r="B6" s="27"/>
      <c r="C6" s="30"/>
      <c r="D6" s="27"/>
      <c r="E6" s="37"/>
      <c r="F6" s="27"/>
      <c r="G6" s="39"/>
      <c r="H6" s="31">
        <f t="shared" ref="H6:R6" si="0">IF($E6&lt;I$4,($G6*1.3)/4,0)</f>
        <v>0</v>
      </c>
      <c r="I6" s="33">
        <f t="shared" si="0"/>
        <v>0</v>
      </c>
      <c r="J6" s="33">
        <f t="shared" si="0"/>
        <v>0</v>
      </c>
      <c r="K6" s="33">
        <f t="shared" si="0"/>
        <v>0</v>
      </c>
      <c r="L6" s="33">
        <f t="shared" si="0"/>
        <v>0</v>
      </c>
      <c r="M6" s="33">
        <f t="shared" si="0"/>
        <v>0</v>
      </c>
      <c r="N6" s="33">
        <f t="shared" si="0"/>
        <v>0</v>
      </c>
      <c r="O6" s="33">
        <f t="shared" si="0"/>
        <v>0</v>
      </c>
      <c r="P6" s="33">
        <f t="shared" si="0"/>
        <v>0</v>
      </c>
      <c r="Q6" s="33">
        <f t="shared" si="0"/>
        <v>0</v>
      </c>
      <c r="R6" s="33">
        <f t="shared" si="0"/>
        <v>0</v>
      </c>
      <c r="S6" s="33">
        <f t="shared" ref="S6:S24" si="1">IF($E6&lt;S$4,($G6*1.3)/4,0)</f>
        <v>0</v>
      </c>
      <c r="T6" s="5"/>
    </row>
    <row r="7" spans="1:20" x14ac:dyDescent="0.25">
      <c r="A7" s="40"/>
      <c r="B7" s="40"/>
      <c r="C7" s="35"/>
      <c r="D7" s="40"/>
      <c r="E7" s="42"/>
      <c r="F7" s="43"/>
      <c r="G7" s="44"/>
      <c r="H7" s="31">
        <f t="shared" ref="H7:R7" si="2">IF($E7&lt;I$4,($G7*1.3)/4,0)</f>
        <v>0</v>
      </c>
      <c r="I7" s="33">
        <f t="shared" si="2"/>
        <v>0</v>
      </c>
      <c r="J7" s="33">
        <f t="shared" si="2"/>
        <v>0</v>
      </c>
      <c r="K7" s="33">
        <f t="shared" si="2"/>
        <v>0</v>
      </c>
      <c r="L7" s="33">
        <f t="shared" si="2"/>
        <v>0</v>
      </c>
      <c r="M7" s="33">
        <f t="shared" si="2"/>
        <v>0</v>
      </c>
      <c r="N7" s="33">
        <f t="shared" si="2"/>
        <v>0</v>
      </c>
      <c r="O7" s="33">
        <f t="shared" si="2"/>
        <v>0</v>
      </c>
      <c r="P7" s="33">
        <f t="shared" si="2"/>
        <v>0</v>
      </c>
      <c r="Q7" s="33">
        <f t="shared" si="2"/>
        <v>0</v>
      </c>
      <c r="R7" s="33">
        <f t="shared" si="2"/>
        <v>0</v>
      </c>
      <c r="S7" s="33">
        <f t="shared" si="1"/>
        <v>0</v>
      </c>
      <c r="T7" s="5"/>
    </row>
    <row r="8" spans="1:20" x14ac:dyDescent="0.25">
      <c r="A8" s="40"/>
      <c r="B8" s="40" t="s">
        <v>123</v>
      </c>
      <c r="C8" s="35"/>
      <c r="D8" s="40"/>
      <c r="E8" s="42"/>
      <c r="F8" s="43"/>
      <c r="G8" s="44"/>
      <c r="H8" s="31">
        <f t="shared" ref="H8:R8" si="3">IF($E8&lt;I$4,($G8*1.3)/4,0)</f>
        <v>0</v>
      </c>
      <c r="I8" s="33">
        <f t="shared" si="3"/>
        <v>0</v>
      </c>
      <c r="J8" s="33">
        <f t="shared" si="3"/>
        <v>0</v>
      </c>
      <c r="K8" s="33">
        <f t="shared" si="3"/>
        <v>0</v>
      </c>
      <c r="L8" s="33">
        <f t="shared" si="3"/>
        <v>0</v>
      </c>
      <c r="M8" s="33">
        <f t="shared" si="3"/>
        <v>0</v>
      </c>
      <c r="N8" s="33">
        <f t="shared" si="3"/>
        <v>0</v>
      </c>
      <c r="O8" s="33">
        <f t="shared" si="3"/>
        <v>0</v>
      </c>
      <c r="P8" s="33">
        <f t="shared" si="3"/>
        <v>0</v>
      </c>
      <c r="Q8" s="33">
        <f t="shared" si="3"/>
        <v>0</v>
      </c>
      <c r="R8" s="33">
        <f t="shared" si="3"/>
        <v>0</v>
      </c>
      <c r="S8" s="33">
        <f t="shared" si="1"/>
        <v>0</v>
      </c>
      <c r="T8" s="5"/>
    </row>
    <row r="9" spans="1:20" x14ac:dyDescent="0.25">
      <c r="A9" s="40"/>
      <c r="B9" s="40"/>
      <c r="C9" s="35"/>
      <c r="D9" s="40"/>
      <c r="E9" s="42"/>
      <c r="F9" s="43"/>
      <c r="G9" s="44"/>
      <c r="H9" s="31">
        <f t="shared" ref="H9:R9" si="4">IF($E9&lt;I$4,($G9*1.3)/4,0)</f>
        <v>0</v>
      </c>
      <c r="I9" s="33">
        <f t="shared" si="4"/>
        <v>0</v>
      </c>
      <c r="J9" s="33">
        <f t="shared" si="4"/>
        <v>0</v>
      </c>
      <c r="K9" s="33">
        <f t="shared" si="4"/>
        <v>0</v>
      </c>
      <c r="L9" s="33">
        <f t="shared" si="4"/>
        <v>0</v>
      </c>
      <c r="M9" s="33">
        <f t="shared" si="4"/>
        <v>0</v>
      </c>
      <c r="N9" s="33">
        <f t="shared" si="4"/>
        <v>0</v>
      </c>
      <c r="O9" s="33">
        <f t="shared" si="4"/>
        <v>0</v>
      </c>
      <c r="P9" s="33">
        <f t="shared" si="4"/>
        <v>0</v>
      </c>
      <c r="Q9" s="33">
        <f t="shared" si="4"/>
        <v>0</v>
      </c>
      <c r="R9" s="33">
        <f t="shared" si="4"/>
        <v>0</v>
      </c>
      <c r="S9" s="33">
        <f t="shared" si="1"/>
        <v>0</v>
      </c>
      <c r="T9" s="5"/>
    </row>
    <row r="10" spans="1:20" x14ac:dyDescent="0.25">
      <c r="A10" s="40"/>
      <c r="B10" s="40"/>
      <c r="C10" s="35"/>
      <c r="D10" s="40"/>
      <c r="E10" s="42"/>
      <c r="F10" s="43"/>
      <c r="G10" s="44"/>
      <c r="H10" s="31">
        <f t="shared" ref="H10:R10" si="5">IF($E10&lt;I$4,($G10*1.3)/4,0)</f>
        <v>0</v>
      </c>
      <c r="I10" s="33">
        <f t="shared" si="5"/>
        <v>0</v>
      </c>
      <c r="J10" s="33">
        <f t="shared" si="5"/>
        <v>0</v>
      </c>
      <c r="K10" s="33">
        <f t="shared" si="5"/>
        <v>0</v>
      </c>
      <c r="L10" s="33">
        <f t="shared" si="5"/>
        <v>0</v>
      </c>
      <c r="M10" s="33">
        <f t="shared" si="5"/>
        <v>0</v>
      </c>
      <c r="N10" s="33">
        <f t="shared" si="5"/>
        <v>0</v>
      </c>
      <c r="O10" s="33">
        <f t="shared" si="5"/>
        <v>0</v>
      </c>
      <c r="P10" s="33">
        <f t="shared" si="5"/>
        <v>0</v>
      </c>
      <c r="Q10" s="33">
        <f t="shared" si="5"/>
        <v>0</v>
      </c>
      <c r="R10" s="33">
        <f t="shared" si="5"/>
        <v>0</v>
      </c>
      <c r="S10" s="33">
        <f t="shared" si="1"/>
        <v>0</v>
      </c>
      <c r="T10" s="5"/>
    </row>
    <row r="11" spans="1:20" x14ac:dyDescent="0.25">
      <c r="A11" s="40"/>
      <c r="B11" s="40"/>
      <c r="C11" s="35"/>
      <c r="D11" s="40"/>
      <c r="E11" s="42"/>
      <c r="F11" s="43"/>
      <c r="G11" s="44"/>
      <c r="H11" s="31">
        <f t="shared" ref="H11:R11" si="6">IF($E11&lt;I$4,($G11*1.3)/4,0)</f>
        <v>0</v>
      </c>
      <c r="I11" s="33">
        <f t="shared" si="6"/>
        <v>0</v>
      </c>
      <c r="J11" s="33">
        <f t="shared" si="6"/>
        <v>0</v>
      </c>
      <c r="K11" s="33">
        <f t="shared" si="6"/>
        <v>0</v>
      </c>
      <c r="L11" s="33">
        <f t="shared" si="6"/>
        <v>0</v>
      </c>
      <c r="M11" s="33">
        <f t="shared" si="6"/>
        <v>0</v>
      </c>
      <c r="N11" s="33">
        <f t="shared" si="6"/>
        <v>0</v>
      </c>
      <c r="O11" s="33">
        <f t="shared" si="6"/>
        <v>0</v>
      </c>
      <c r="P11" s="33">
        <f t="shared" si="6"/>
        <v>0</v>
      </c>
      <c r="Q11" s="33">
        <f t="shared" si="6"/>
        <v>0</v>
      </c>
      <c r="R11" s="33">
        <f t="shared" si="6"/>
        <v>0</v>
      </c>
      <c r="S11" s="33">
        <f t="shared" si="1"/>
        <v>0</v>
      </c>
      <c r="T11" s="5"/>
    </row>
    <row r="12" spans="1:20" x14ac:dyDescent="0.25">
      <c r="A12" s="40"/>
      <c r="B12" s="40"/>
      <c r="C12" s="35"/>
      <c r="D12" s="40"/>
      <c r="E12" s="42"/>
      <c r="F12" s="43"/>
      <c r="G12" s="44"/>
      <c r="H12" s="31">
        <f t="shared" ref="H12:R12" si="7">IF($E12&lt;I$4,($G12*1.3)/4,0)</f>
        <v>0</v>
      </c>
      <c r="I12" s="33">
        <f t="shared" si="7"/>
        <v>0</v>
      </c>
      <c r="J12" s="33">
        <f t="shared" si="7"/>
        <v>0</v>
      </c>
      <c r="K12" s="33">
        <f t="shared" si="7"/>
        <v>0</v>
      </c>
      <c r="L12" s="33">
        <f t="shared" si="7"/>
        <v>0</v>
      </c>
      <c r="M12" s="33">
        <f t="shared" si="7"/>
        <v>0</v>
      </c>
      <c r="N12" s="33">
        <f t="shared" si="7"/>
        <v>0</v>
      </c>
      <c r="O12" s="33">
        <f t="shared" si="7"/>
        <v>0</v>
      </c>
      <c r="P12" s="33">
        <f t="shared" si="7"/>
        <v>0</v>
      </c>
      <c r="Q12" s="33">
        <f t="shared" si="7"/>
        <v>0</v>
      </c>
      <c r="R12" s="33">
        <f t="shared" si="7"/>
        <v>0</v>
      </c>
      <c r="S12" s="33">
        <f t="shared" si="1"/>
        <v>0</v>
      </c>
      <c r="T12" s="5"/>
    </row>
    <row r="13" spans="1:20" x14ac:dyDescent="0.25">
      <c r="A13" s="40"/>
      <c r="B13" s="40"/>
      <c r="C13" s="35"/>
      <c r="D13" s="40"/>
      <c r="E13" s="42"/>
      <c r="F13" s="43"/>
      <c r="G13" s="44"/>
      <c r="H13" s="31">
        <f t="shared" ref="H13:R13" si="8">IF($E13&lt;I$4,($G13*1.3)/4,0)</f>
        <v>0</v>
      </c>
      <c r="I13" s="33">
        <f t="shared" si="8"/>
        <v>0</v>
      </c>
      <c r="J13" s="33">
        <f t="shared" si="8"/>
        <v>0</v>
      </c>
      <c r="K13" s="33">
        <f t="shared" si="8"/>
        <v>0</v>
      </c>
      <c r="L13" s="33">
        <f t="shared" si="8"/>
        <v>0</v>
      </c>
      <c r="M13" s="33">
        <f t="shared" si="8"/>
        <v>0</v>
      </c>
      <c r="N13" s="33">
        <f t="shared" si="8"/>
        <v>0</v>
      </c>
      <c r="O13" s="33">
        <f t="shared" si="8"/>
        <v>0</v>
      </c>
      <c r="P13" s="33">
        <f t="shared" si="8"/>
        <v>0</v>
      </c>
      <c r="Q13" s="33">
        <f t="shared" si="8"/>
        <v>0</v>
      </c>
      <c r="R13" s="33">
        <f t="shared" si="8"/>
        <v>0</v>
      </c>
      <c r="S13" s="33">
        <f t="shared" si="1"/>
        <v>0</v>
      </c>
      <c r="T13" s="5"/>
    </row>
    <row r="14" spans="1:20" x14ac:dyDescent="0.25">
      <c r="A14" s="40"/>
      <c r="B14" s="40"/>
      <c r="C14" s="35"/>
      <c r="D14" s="40"/>
      <c r="E14" s="42"/>
      <c r="F14" s="43"/>
      <c r="G14" s="44"/>
      <c r="H14" s="31">
        <f t="shared" ref="H14:R14" si="9">IF($E14&lt;I$4,($G14*1.3)/4,0)</f>
        <v>0</v>
      </c>
      <c r="I14" s="33">
        <f t="shared" si="9"/>
        <v>0</v>
      </c>
      <c r="J14" s="33">
        <f t="shared" si="9"/>
        <v>0</v>
      </c>
      <c r="K14" s="33">
        <f t="shared" si="9"/>
        <v>0</v>
      </c>
      <c r="L14" s="33">
        <f t="shared" si="9"/>
        <v>0</v>
      </c>
      <c r="M14" s="33">
        <f t="shared" si="9"/>
        <v>0</v>
      </c>
      <c r="N14" s="33">
        <f t="shared" si="9"/>
        <v>0</v>
      </c>
      <c r="O14" s="33">
        <f t="shared" si="9"/>
        <v>0</v>
      </c>
      <c r="P14" s="33">
        <f t="shared" si="9"/>
        <v>0</v>
      </c>
      <c r="Q14" s="33">
        <f t="shared" si="9"/>
        <v>0</v>
      </c>
      <c r="R14" s="33">
        <f t="shared" si="9"/>
        <v>0</v>
      </c>
      <c r="S14" s="33">
        <f t="shared" si="1"/>
        <v>0</v>
      </c>
      <c r="T14" s="5"/>
    </row>
    <row r="15" spans="1:20" x14ac:dyDescent="0.25">
      <c r="A15" s="40"/>
      <c r="B15" s="40"/>
      <c r="C15" s="35"/>
      <c r="D15" s="40"/>
      <c r="E15" s="42"/>
      <c r="F15" s="43"/>
      <c r="G15" s="44"/>
      <c r="H15" s="31">
        <f t="shared" ref="H15:R15" si="10">IF($E15&lt;I$4,($G15*1.3)/4,0)</f>
        <v>0</v>
      </c>
      <c r="I15" s="33">
        <f t="shared" si="10"/>
        <v>0</v>
      </c>
      <c r="J15" s="33">
        <f t="shared" si="10"/>
        <v>0</v>
      </c>
      <c r="K15" s="33">
        <f t="shared" si="10"/>
        <v>0</v>
      </c>
      <c r="L15" s="33">
        <f t="shared" si="10"/>
        <v>0</v>
      </c>
      <c r="M15" s="33">
        <f t="shared" si="10"/>
        <v>0</v>
      </c>
      <c r="N15" s="33">
        <f t="shared" si="10"/>
        <v>0</v>
      </c>
      <c r="O15" s="33">
        <f t="shared" si="10"/>
        <v>0</v>
      </c>
      <c r="P15" s="33">
        <f t="shared" si="10"/>
        <v>0</v>
      </c>
      <c r="Q15" s="33">
        <f t="shared" si="10"/>
        <v>0</v>
      </c>
      <c r="R15" s="33">
        <f t="shared" si="10"/>
        <v>0</v>
      </c>
      <c r="S15" s="33">
        <f t="shared" si="1"/>
        <v>0</v>
      </c>
      <c r="T15" s="5"/>
    </row>
    <row r="16" spans="1:20" x14ac:dyDescent="0.25">
      <c r="A16" s="40"/>
      <c r="B16" s="40"/>
      <c r="C16" s="35"/>
      <c r="D16" s="40"/>
      <c r="E16" s="42"/>
      <c r="F16" s="43"/>
      <c r="G16" s="44"/>
      <c r="H16" s="31">
        <f t="shared" ref="H16:R16" si="11">IF($E16&lt;I$4,($G16*1.3)/4,0)</f>
        <v>0</v>
      </c>
      <c r="I16" s="33">
        <f t="shared" si="11"/>
        <v>0</v>
      </c>
      <c r="J16" s="33">
        <f t="shared" si="11"/>
        <v>0</v>
      </c>
      <c r="K16" s="33">
        <f t="shared" si="11"/>
        <v>0</v>
      </c>
      <c r="L16" s="33">
        <f t="shared" si="11"/>
        <v>0</v>
      </c>
      <c r="M16" s="33">
        <f t="shared" si="11"/>
        <v>0</v>
      </c>
      <c r="N16" s="33">
        <f t="shared" si="11"/>
        <v>0</v>
      </c>
      <c r="O16" s="33">
        <f t="shared" si="11"/>
        <v>0</v>
      </c>
      <c r="P16" s="33">
        <f t="shared" si="11"/>
        <v>0</v>
      </c>
      <c r="Q16" s="33">
        <f t="shared" si="11"/>
        <v>0</v>
      </c>
      <c r="R16" s="33">
        <f t="shared" si="11"/>
        <v>0</v>
      </c>
      <c r="S16" s="33">
        <f t="shared" si="1"/>
        <v>0</v>
      </c>
      <c r="T16" s="5"/>
    </row>
    <row r="17" spans="1:20" x14ac:dyDescent="0.25">
      <c r="A17" s="40"/>
      <c r="B17" s="40"/>
      <c r="C17" s="35"/>
      <c r="D17" s="40"/>
      <c r="E17" s="40"/>
      <c r="F17" s="43"/>
      <c r="G17" s="44"/>
      <c r="H17" s="31">
        <f t="shared" ref="H17:R17" si="12">IF($E17&lt;I$4,($G17*1.3)/4,0)</f>
        <v>0</v>
      </c>
      <c r="I17" s="33">
        <f t="shared" si="12"/>
        <v>0</v>
      </c>
      <c r="J17" s="33">
        <f t="shared" si="12"/>
        <v>0</v>
      </c>
      <c r="K17" s="33">
        <f t="shared" si="12"/>
        <v>0</v>
      </c>
      <c r="L17" s="33">
        <f t="shared" si="12"/>
        <v>0</v>
      </c>
      <c r="M17" s="33">
        <f t="shared" si="12"/>
        <v>0</v>
      </c>
      <c r="N17" s="33">
        <f t="shared" si="12"/>
        <v>0</v>
      </c>
      <c r="O17" s="33">
        <f t="shared" si="12"/>
        <v>0</v>
      </c>
      <c r="P17" s="33">
        <f t="shared" si="12"/>
        <v>0</v>
      </c>
      <c r="Q17" s="33">
        <f t="shared" si="12"/>
        <v>0</v>
      </c>
      <c r="R17" s="33">
        <f t="shared" si="12"/>
        <v>0</v>
      </c>
      <c r="S17" s="33">
        <f t="shared" si="1"/>
        <v>0</v>
      </c>
      <c r="T17" s="5"/>
    </row>
    <row r="18" spans="1:20" x14ac:dyDescent="0.25">
      <c r="A18" s="40"/>
      <c r="B18" s="40"/>
      <c r="C18" s="35"/>
      <c r="D18" s="40"/>
      <c r="E18" s="40"/>
      <c r="F18" s="43"/>
      <c r="G18" s="44"/>
      <c r="H18" s="31">
        <f t="shared" ref="H18:R18" si="13">IF($E18&lt;I$4,($G18*1.3)/4,0)</f>
        <v>0</v>
      </c>
      <c r="I18" s="33">
        <f t="shared" si="13"/>
        <v>0</v>
      </c>
      <c r="J18" s="33">
        <f t="shared" si="13"/>
        <v>0</v>
      </c>
      <c r="K18" s="33">
        <f t="shared" si="13"/>
        <v>0</v>
      </c>
      <c r="L18" s="33">
        <f t="shared" si="13"/>
        <v>0</v>
      </c>
      <c r="M18" s="33">
        <f t="shared" si="13"/>
        <v>0</v>
      </c>
      <c r="N18" s="33">
        <f t="shared" si="13"/>
        <v>0</v>
      </c>
      <c r="O18" s="33">
        <f t="shared" si="13"/>
        <v>0</v>
      </c>
      <c r="P18" s="33">
        <f t="shared" si="13"/>
        <v>0</v>
      </c>
      <c r="Q18" s="33">
        <f t="shared" si="13"/>
        <v>0</v>
      </c>
      <c r="R18" s="33">
        <f t="shared" si="13"/>
        <v>0</v>
      </c>
      <c r="S18" s="33">
        <f t="shared" si="1"/>
        <v>0</v>
      </c>
      <c r="T18" s="5"/>
    </row>
    <row r="19" spans="1:20" x14ac:dyDescent="0.25">
      <c r="A19" s="40"/>
      <c r="B19" s="40"/>
      <c r="C19" s="35"/>
      <c r="D19" s="40"/>
      <c r="E19" s="40"/>
      <c r="F19" s="43"/>
      <c r="G19" s="44"/>
      <c r="H19" s="31">
        <f t="shared" ref="H19:R19" si="14">IF($E19&lt;I$4,($G19*1.3)/4,0)</f>
        <v>0</v>
      </c>
      <c r="I19" s="33">
        <f t="shared" si="14"/>
        <v>0</v>
      </c>
      <c r="J19" s="33">
        <f t="shared" si="14"/>
        <v>0</v>
      </c>
      <c r="K19" s="33">
        <f t="shared" si="14"/>
        <v>0</v>
      </c>
      <c r="L19" s="33">
        <f t="shared" si="14"/>
        <v>0</v>
      </c>
      <c r="M19" s="33">
        <f t="shared" si="14"/>
        <v>0</v>
      </c>
      <c r="N19" s="33">
        <f t="shared" si="14"/>
        <v>0</v>
      </c>
      <c r="O19" s="33">
        <f t="shared" si="14"/>
        <v>0</v>
      </c>
      <c r="P19" s="33">
        <f t="shared" si="14"/>
        <v>0</v>
      </c>
      <c r="Q19" s="33">
        <f t="shared" si="14"/>
        <v>0</v>
      </c>
      <c r="R19" s="33">
        <f t="shared" si="14"/>
        <v>0</v>
      </c>
      <c r="S19" s="33">
        <f t="shared" si="1"/>
        <v>0</v>
      </c>
      <c r="T19" s="5"/>
    </row>
    <row r="20" spans="1:20" x14ac:dyDescent="0.25">
      <c r="A20" s="40"/>
      <c r="B20" s="40"/>
      <c r="C20" s="35"/>
      <c r="D20" s="40"/>
      <c r="E20" s="43"/>
      <c r="F20" s="43"/>
      <c r="G20" s="44"/>
      <c r="H20" s="31">
        <f t="shared" ref="H20:R20" si="15">IF($E20&lt;I$4,($G20*1.3)/4,0)</f>
        <v>0</v>
      </c>
      <c r="I20" s="33">
        <f t="shared" si="15"/>
        <v>0</v>
      </c>
      <c r="J20" s="33">
        <f t="shared" si="15"/>
        <v>0</v>
      </c>
      <c r="K20" s="33">
        <f t="shared" si="15"/>
        <v>0</v>
      </c>
      <c r="L20" s="33">
        <f t="shared" si="15"/>
        <v>0</v>
      </c>
      <c r="M20" s="33">
        <f t="shared" si="15"/>
        <v>0</v>
      </c>
      <c r="N20" s="33">
        <f t="shared" si="15"/>
        <v>0</v>
      </c>
      <c r="O20" s="33">
        <f t="shared" si="15"/>
        <v>0</v>
      </c>
      <c r="P20" s="33">
        <f t="shared" si="15"/>
        <v>0</v>
      </c>
      <c r="Q20" s="33">
        <f t="shared" si="15"/>
        <v>0</v>
      </c>
      <c r="R20" s="33">
        <f t="shared" si="15"/>
        <v>0</v>
      </c>
      <c r="S20" s="33">
        <f t="shared" si="1"/>
        <v>0</v>
      </c>
      <c r="T20" s="5"/>
    </row>
    <row r="21" spans="1:20" x14ac:dyDescent="0.25">
      <c r="A21" s="40"/>
      <c r="B21" s="40"/>
      <c r="C21" s="35"/>
      <c r="D21" s="40"/>
      <c r="E21" s="43"/>
      <c r="F21" s="43"/>
      <c r="G21" s="44"/>
      <c r="H21" s="31">
        <f t="shared" ref="H21:R21" si="16">IF($E21&lt;I$4,($G21*1.3)/4,0)</f>
        <v>0</v>
      </c>
      <c r="I21" s="33">
        <f t="shared" si="16"/>
        <v>0</v>
      </c>
      <c r="J21" s="33">
        <f t="shared" si="16"/>
        <v>0</v>
      </c>
      <c r="K21" s="33">
        <f t="shared" si="16"/>
        <v>0</v>
      </c>
      <c r="L21" s="33">
        <f t="shared" si="16"/>
        <v>0</v>
      </c>
      <c r="M21" s="33">
        <f t="shared" si="16"/>
        <v>0</v>
      </c>
      <c r="N21" s="33">
        <f t="shared" si="16"/>
        <v>0</v>
      </c>
      <c r="O21" s="33">
        <f t="shared" si="16"/>
        <v>0</v>
      </c>
      <c r="P21" s="33">
        <f t="shared" si="16"/>
        <v>0</v>
      </c>
      <c r="Q21" s="33">
        <f t="shared" si="16"/>
        <v>0</v>
      </c>
      <c r="R21" s="33">
        <f t="shared" si="16"/>
        <v>0</v>
      </c>
      <c r="S21" s="33">
        <f t="shared" si="1"/>
        <v>0</v>
      </c>
      <c r="T21" s="5"/>
    </row>
    <row r="22" spans="1:20" x14ac:dyDescent="0.25">
      <c r="A22" s="66"/>
      <c r="B22" s="66"/>
      <c r="C22" s="76"/>
      <c r="D22" s="77"/>
      <c r="E22" s="66"/>
      <c r="F22" s="66"/>
      <c r="G22" s="79"/>
      <c r="H22" s="31">
        <f t="shared" ref="H22:R22" si="17">IF($E22&lt;I$4,($G22*1.3)/4,0)</f>
        <v>0</v>
      </c>
      <c r="I22" s="33">
        <f t="shared" si="17"/>
        <v>0</v>
      </c>
      <c r="J22" s="33">
        <f t="shared" si="17"/>
        <v>0</v>
      </c>
      <c r="K22" s="33">
        <f t="shared" si="17"/>
        <v>0</v>
      </c>
      <c r="L22" s="33">
        <f t="shared" si="17"/>
        <v>0</v>
      </c>
      <c r="M22" s="33">
        <f t="shared" si="17"/>
        <v>0</v>
      </c>
      <c r="N22" s="33">
        <f t="shared" si="17"/>
        <v>0</v>
      </c>
      <c r="O22" s="33">
        <f t="shared" si="17"/>
        <v>0</v>
      </c>
      <c r="P22" s="33">
        <f t="shared" si="17"/>
        <v>0</v>
      </c>
      <c r="Q22" s="33">
        <f t="shared" si="17"/>
        <v>0</v>
      </c>
      <c r="R22" s="33">
        <f t="shared" si="17"/>
        <v>0</v>
      </c>
      <c r="S22" s="33">
        <f t="shared" si="1"/>
        <v>0</v>
      </c>
      <c r="T22" s="5"/>
    </row>
    <row r="23" spans="1:20" x14ac:dyDescent="0.25">
      <c r="A23" s="66"/>
      <c r="B23" s="66"/>
      <c r="C23" s="76"/>
      <c r="D23" s="77"/>
      <c r="E23" s="66"/>
      <c r="F23" s="66"/>
      <c r="G23" s="79"/>
      <c r="H23" s="31">
        <f t="shared" ref="H23:R23" si="18">IF($E23&lt;I$4,($G23*1.3)/4,0)</f>
        <v>0</v>
      </c>
      <c r="I23" s="33">
        <f t="shared" si="18"/>
        <v>0</v>
      </c>
      <c r="J23" s="33">
        <f t="shared" si="18"/>
        <v>0</v>
      </c>
      <c r="K23" s="33">
        <f t="shared" si="18"/>
        <v>0</v>
      </c>
      <c r="L23" s="33">
        <f t="shared" si="18"/>
        <v>0</v>
      </c>
      <c r="M23" s="33">
        <f t="shared" si="18"/>
        <v>0</v>
      </c>
      <c r="N23" s="33">
        <f t="shared" si="18"/>
        <v>0</v>
      </c>
      <c r="O23" s="33">
        <f t="shared" si="18"/>
        <v>0</v>
      </c>
      <c r="P23" s="33">
        <f t="shared" si="18"/>
        <v>0</v>
      </c>
      <c r="Q23" s="33">
        <f t="shared" si="18"/>
        <v>0</v>
      </c>
      <c r="R23" s="33">
        <f t="shared" si="18"/>
        <v>0</v>
      </c>
      <c r="S23" s="33">
        <f t="shared" si="1"/>
        <v>0</v>
      </c>
      <c r="T23" s="5"/>
    </row>
    <row r="24" spans="1:20" x14ac:dyDescent="0.25">
      <c r="A24" s="66"/>
      <c r="B24" s="66"/>
      <c r="C24" s="76"/>
      <c r="D24" s="77"/>
      <c r="E24" s="66"/>
      <c r="F24" s="66"/>
      <c r="G24" s="79"/>
      <c r="H24" s="31">
        <f t="shared" ref="H24:R24" si="19">IF($E24&lt;I$4,($G24*1.3)/4,0)</f>
        <v>0</v>
      </c>
      <c r="I24" s="33">
        <f t="shared" si="19"/>
        <v>0</v>
      </c>
      <c r="J24" s="33">
        <f t="shared" si="19"/>
        <v>0</v>
      </c>
      <c r="K24" s="33">
        <f t="shared" si="19"/>
        <v>0</v>
      </c>
      <c r="L24" s="33">
        <f t="shared" si="19"/>
        <v>0</v>
      </c>
      <c r="M24" s="33">
        <f t="shared" si="19"/>
        <v>0</v>
      </c>
      <c r="N24" s="33">
        <f t="shared" si="19"/>
        <v>0</v>
      </c>
      <c r="O24" s="33">
        <f t="shared" si="19"/>
        <v>0</v>
      </c>
      <c r="P24" s="33">
        <f t="shared" si="19"/>
        <v>0</v>
      </c>
      <c r="Q24" s="33">
        <f t="shared" si="19"/>
        <v>0</v>
      </c>
      <c r="R24" s="33">
        <f t="shared" si="19"/>
        <v>0</v>
      </c>
      <c r="S24" s="33">
        <f t="shared" si="1"/>
        <v>0</v>
      </c>
      <c r="T24" s="5"/>
    </row>
    <row r="25" spans="1:20" x14ac:dyDescent="0.25">
      <c r="A25" s="50"/>
      <c r="B25" s="50"/>
      <c r="C25" s="50"/>
      <c r="D25" s="50"/>
      <c r="E25" s="50"/>
      <c r="F25" s="50"/>
      <c r="G25" s="50"/>
      <c r="H25" s="81">
        <f t="shared" ref="H25:S25" si="20">SUM(H6:H24)</f>
        <v>0</v>
      </c>
      <c r="I25" s="82">
        <f t="shared" si="20"/>
        <v>0</v>
      </c>
      <c r="J25" s="82">
        <f t="shared" si="20"/>
        <v>0</v>
      </c>
      <c r="K25" s="82">
        <f t="shared" si="20"/>
        <v>0</v>
      </c>
      <c r="L25" s="82">
        <f t="shared" si="20"/>
        <v>0</v>
      </c>
      <c r="M25" s="82">
        <f t="shared" si="20"/>
        <v>0</v>
      </c>
      <c r="N25" s="82">
        <f t="shared" si="20"/>
        <v>0</v>
      </c>
      <c r="O25" s="82">
        <f t="shared" si="20"/>
        <v>0</v>
      </c>
      <c r="P25" s="82">
        <f t="shared" si="20"/>
        <v>0</v>
      </c>
      <c r="Q25" s="82">
        <f t="shared" si="20"/>
        <v>0</v>
      </c>
      <c r="R25" s="82">
        <f t="shared" si="20"/>
        <v>0</v>
      </c>
      <c r="S25" s="82">
        <f t="shared" si="20"/>
        <v>0</v>
      </c>
      <c r="T25" s="5"/>
    </row>
    <row r="26" spans="1:20" x14ac:dyDescent="0.25">
      <c r="B26" s="5"/>
      <c r="C26" s="5"/>
      <c r="D26" s="5"/>
      <c r="E26" s="5"/>
      <c r="F26" s="5"/>
      <c r="G26" s="5"/>
      <c r="H26" s="5"/>
      <c r="I26" s="5"/>
      <c r="J26" s="5"/>
      <c r="K26" s="5"/>
      <c r="L26" s="5"/>
      <c r="M26" s="5"/>
      <c r="N26" s="5"/>
      <c r="O26" s="5"/>
      <c r="P26" s="5"/>
      <c r="Q26" s="5"/>
      <c r="R26" s="5"/>
      <c r="S26" s="5"/>
    </row>
    <row r="27" spans="1:20" ht="18.75" x14ac:dyDescent="0.3">
      <c r="A27" s="7" t="s">
        <v>67</v>
      </c>
      <c r="B27" s="5"/>
      <c r="C27" s="5"/>
      <c r="D27" s="5"/>
      <c r="E27" s="5"/>
      <c r="F27" s="5"/>
      <c r="G27" s="5"/>
      <c r="H27" s="790">
        <v>2019</v>
      </c>
      <c r="I27" s="789"/>
      <c r="J27" s="787">
        <v>2020</v>
      </c>
      <c r="K27" s="788"/>
      <c r="L27" s="788"/>
      <c r="M27" s="789"/>
      <c r="N27" s="787">
        <v>2021</v>
      </c>
      <c r="O27" s="788"/>
      <c r="P27" s="788"/>
      <c r="Q27" s="789"/>
      <c r="R27" s="790">
        <v>2022</v>
      </c>
      <c r="S27" s="789"/>
    </row>
    <row r="28" spans="1:20" ht="30" x14ac:dyDescent="0.25">
      <c r="A28" s="54" t="s">
        <v>8</v>
      </c>
      <c r="B28" s="54" t="s">
        <v>11</v>
      </c>
      <c r="C28" s="54" t="s">
        <v>71</v>
      </c>
      <c r="D28" s="791" t="s">
        <v>72</v>
      </c>
      <c r="E28" s="792"/>
      <c r="F28" s="793"/>
      <c r="G28" s="55" t="s">
        <v>73</v>
      </c>
      <c r="H28" s="18" t="s">
        <v>10</v>
      </c>
      <c r="I28" s="20" t="s">
        <v>17</v>
      </c>
      <c r="J28" s="22" t="s">
        <v>18</v>
      </c>
      <c r="K28" s="18" t="s">
        <v>19</v>
      </c>
      <c r="L28" s="18" t="s">
        <v>10</v>
      </c>
      <c r="M28" s="20" t="s">
        <v>17</v>
      </c>
      <c r="N28" s="22" t="s">
        <v>18</v>
      </c>
      <c r="O28" s="18" t="s">
        <v>19</v>
      </c>
      <c r="P28" s="18" t="s">
        <v>10</v>
      </c>
      <c r="Q28" s="20" t="s">
        <v>17</v>
      </c>
      <c r="R28" s="22" t="s">
        <v>18</v>
      </c>
      <c r="S28" s="18" t="s">
        <v>19</v>
      </c>
    </row>
    <row r="29" spans="1:20" x14ac:dyDescent="0.25">
      <c r="A29" s="40"/>
      <c r="B29" s="40"/>
      <c r="C29" s="40"/>
      <c r="D29" s="794"/>
      <c r="E29" s="795"/>
      <c r="F29" s="796"/>
      <c r="G29" s="58"/>
      <c r="H29" s="56"/>
      <c r="I29" s="57"/>
      <c r="J29" s="57"/>
      <c r="K29" s="57"/>
      <c r="L29" s="57"/>
      <c r="M29" s="57"/>
      <c r="N29" s="57"/>
      <c r="O29" s="57"/>
      <c r="P29" s="57"/>
      <c r="Q29" s="57"/>
      <c r="R29" s="57"/>
      <c r="S29" s="57"/>
    </row>
    <row r="30" spans="1:20" x14ac:dyDescent="0.25">
      <c r="A30" s="40"/>
      <c r="B30" s="40"/>
      <c r="C30" s="40"/>
      <c r="D30" s="794"/>
      <c r="E30" s="795"/>
      <c r="F30" s="796"/>
      <c r="G30" s="58"/>
      <c r="H30" s="56"/>
      <c r="I30" s="57"/>
      <c r="J30" s="57"/>
      <c r="K30" s="57"/>
      <c r="L30" s="57"/>
      <c r="M30" s="57"/>
      <c r="N30" s="57"/>
      <c r="O30" s="57"/>
      <c r="P30" s="57"/>
      <c r="Q30" s="57"/>
      <c r="R30" s="57"/>
      <c r="S30" s="57"/>
    </row>
    <row r="31" spans="1:20" x14ac:dyDescent="0.25">
      <c r="A31" s="40"/>
      <c r="B31" s="40"/>
      <c r="C31" s="40"/>
      <c r="D31" s="794"/>
      <c r="E31" s="795"/>
      <c r="F31" s="796"/>
      <c r="G31" s="58"/>
      <c r="H31" s="56"/>
      <c r="I31" s="59"/>
      <c r="J31" s="57"/>
      <c r="K31" s="57"/>
      <c r="L31" s="57"/>
      <c r="M31" s="57"/>
      <c r="N31" s="57"/>
      <c r="O31" s="57"/>
      <c r="P31" s="57"/>
      <c r="Q31" s="57"/>
      <c r="R31" s="57"/>
      <c r="S31" s="57"/>
    </row>
    <row r="32" spans="1:20" x14ac:dyDescent="0.25">
      <c r="A32" s="40"/>
      <c r="B32" s="40"/>
      <c r="C32" s="40"/>
      <c r="D32" s="794"/>
      <c r="E32" s="795"/>
      <c r="F32" s="796"/>
      <c r="G32" s="58"/>
      <c r="H32" s="56"/>
      <c r="I32" s="59"/>
      <c r="J32" s="57"/>
      <c r="K32" s="57"/>
      <c r="L32" s="57"/>
      <c r="M32" s="57"/>
      <c r="N32" s="57"/>
      <c r="O32" s="57"/>
      <c r="P32" s="57"/>
      <c r="Q32" s="57"/>
      <c r="R32" s="57"/>
      <c r="S32" s="57"/>
    </row>
    <row r="33" spans="1:19" x14ac:dyDescent="0.25">
      <c r="A33" s="40"/>
      <c r="B33" s="40"/>
      <c r="C33" s="40"/>
      <c r="D33" s="794"/>
      <c r="E33" s="795"/>
      <c r="F33" s="796"/>
      <c r="G33" s="58"/>
      <c r="H33" s="56"/>
      <c r="I33" s="59"/>
      <c r="J33" s="57"/>
      <c r="K33" s="57"/>
      <c r="L33" s="57"/>
      <c r="M33" s="57"/>
      <c r="N33" s="57"/>
      <c r="O33" s="57"/>
      <c r="P33" s="57"/>
      <c r="Q33" s="57"/>
      <c r="R33" s="57"/>
      <c r="S33" s="57"/>
    </row>
    <row r="34" spans="1:19" x14ac:dyDescent="0.25">
      <c r="A34" s="40"/>
      <c r="B34" s="40"/>
      <c r="C34" s="40"/>
      <c r="D34" s="794"/>
      <c r="E34" s="795"/>
      <c r="F34" s="796"/>
      <c r="G34" s="58"/>
      <c r="H34" s="56"/>
      <c r="I34" s="59"/>
      <c r="J34" s="57"/>
      <c r="K34" s="57"/>
      <c r="L34" s="57"/>
      <c r="M34" s="57"/>
      <c r="N34" s="57"/>
      <c r="O34" s="57"/>
      <c r="P34" s="57"/>
      <c r="Q34" s="57"/>
      <c r="R34" s="57"/>
      <c r="S34" s="57"/>
    </row>
    <row r="35" spans="1:19" x14ac:dyDescent="0.25">
      <c r="A35" s="40"/>
      <c r="B35" s="40"/>
      <c r="C35" s="60"/>
      <c r="D35" s="794"/>
      <c r="E35" s="795"/>
      <c r="F35" s="796"/>
      <c r="G35" s="58"/>
      <c r="H35" s="63"/>
      <c r="I35" s="57"/>
      <c r="J35" s="57"/>
      <c r="K35" s="57"/>
      <c r="L35" s="57"/>
      <c r="M35" s="57"/>
      <c r="N35" s="57"/>
      <c r="O35" s="57"/>
      <c r="P35" s="57"/>
      <c r="Q35" s="57"/>
      <c r="R35" s="57"/>
      <c r="S35" s="57"/>
    </row>
    <row r="36" spans="1:19" x14ac:dyDescent="0.25">
      <c r="A36" s="40"/>
      <c r="B36" s="40"/>
      <c r="C36" s="60"/>
      <c r="D36" s="794"/>
      <c r="E36" s="795"/>
      <c r="F36" s="796"/>
      <c r="G36" s="58"/>
      <c r="H36" s="63"/>
      <c r="I36" s="57"/>
      <c r="J36" s="57"/>
      <c r="K36" s="57"/>
      <c r="L36" s="57"/>
      <c r="M36" s="57"/>
      <c r="N36" s="57"/>
      <c r="O36" s="57"/>
      <c r="P36" s="57"/>
      <c r="Q36" s="57"/>
      <c r="R36" s="57"/>
      <c r="S36" s="57"/>
    </row>
    <row r="37" spans="1:19" x14ac:dyDescent="0.25">
      <c r="A37" s="40"/>
      <c r="B37" s="40"/>
      <c r="C37" s="60"/>
      <c r="D37" s="794"/>
      <c r="E37" s="795"/>
      <c r="F37" s="796"/>
      <c r="G37" s="58"/>
      <c r="H37" s="63"/>
      <c r="I37" s="57"/>
      <c r="J37" s="57"/>
      <c r="K37" s="57"/>
      <c r="L37" s="57"/>
      <c r="M37" s="57"/>
      <c r="N37" s="57"/>
      <c r="O37" s="57"/>
      <c r="P37" s="57"/>
      <c r="Q37" s="57"/>
      <c r="R37" s="57"/>
      <c r="S37" s="57"/>
    </row>
    <row r="38" spans="1:19" x14ac:dyDescent="0.25">
      <c r="A38" s="40"/>
      <c r="B38" s="40"/>
      <c r="C38" s="40"/>
      <c r="D38" s="794"/>
      <c r="E38" s="795"/>
      <c r="F38" s="796"/>
      <c r="G38" s="58"/>
      <c r="H38" s="63"/>
      <c r="I38" s="57"/>
      <c r="J38" s="57"/>
      <c r="K38" s="57"/>
      <c r="L38" s="57"/>
      <c r="M38" s="57"/>
      <c r="N38" s="57"/>
      <c r="O38" s="57"/>
      <c r="P38" s="57"/>
      <c r="Q38" s="57"/>
      <c r="R38" s="57"/>
      <c r="S38" s="57"/>
    </row>
    <row r="39" spans="1:19" x14ac:dyDescent="0.25">
      <c r="A39" s="66"/>
      <c r="B39" s="40"/>
      <c r="C39" s="40"/>
      <c r="D39" s="794"/>
      <c r="E39" s="795"/>
      <c r="F39" s="796"/>
      <c r="G39" s="68"/>
      <c r="H39" s="69"/>
      <c r="I39" s="70"/>
      <c r="J39" s="70"/>
      <c r="K39" s="70"/>
      <c r="L39" s="70"/>
      <c r="M39" s="70"/>
      <c r="N39" s="70"/>
      <c r="O39" s="70"/>
      <c r="P39" s="70"/>
      <c r="Q39" s="70"/>
      <c r="R39" s="70"/>
      <c r="S39" s="70"/>
    </row>
    <row r="40" spans="1:19" x14ac:dyDescent="0.25">
      <c r="A40" s="66"/>
      <c r="B40" s="66"/>
      <c r="C40" s="66"/>
      <c r="D40" s="794"/>
      <c r="E40" s="795"/>
      <c r="F40" s="796"/>
      <c r="G40" s="72"/>
      <c r="H40" s="74"/>
      <c r="I40" s="75"/>
      <c r="J40" s="75"/>
      <c r="K40" s="75"/>
      <c r="L40" s="75"/>
      <c r="M40" s="75"/>
      <c r="N40" s="75"/>
      <c r="O40" s="75"/>
      <c r="P40" s="75"/>
      <c r="Q40" s="75"/>
      <c r="R40" s="75"/>
      <c r="S40" s="75"/>
    </row>
    <row r="41" spans="1:19" x14ac:dyDescent="0.25">
      <c r="G41" s="108">
        <f>SUM(G29:G40)</f>
        <v>0</v>
      </c>
      <c r="H41" s="109">
        <f t="shared" ref="H41:S41" si="21">SUM(H29:H34)</f>
        <v>0</v>
      </c>
      <c r="I41" s="108">
        <f t="shared" si="21"/>
        <v>0</v>
      </c>
      <c r="J41" s="108">
        <f t="shared" si="21"/>
        <v>0</v>
      </c>
      <c r="K41" s="108">
        <f t="shared" si="21"/>
        <v>0</v>
      </c>
      <c r="L41" s="108">
        <f t="shared" si="21"/>
        <v>0</v>
      </c>
      <c r="M41" s="108">
        <f t="shared" si="21"/>
        <v>0</v>
      </c>
      <c r="N41" s="108">
        <f t="shared" si="21"/>
        <v>0</v>
      </c>
      <c r="O41" s="108">
        <f t="shared" si="21"/>
        <v>0</v>
      </c>
      <c r="P41" s="108">
        <f t="shared" si="21"/>
        <v>0</v>
      </c>
      <c r="Q41" s="108">
        <f t="shared" si="21"/>
        <v>0</v>
      </c>
      <c r="R41" s="108">
        <f t="shared" si="21"/>
        <v>0</v>
      </c>
      <c r="S41" s="108">
        <f t="shared" si="21"/>
        <v>0</v>
      </c>
    </row>
  </sheetData>
  <mergeCells count="21">
    <mergeCell ref="D39:F39"/>
    <mergeCell ref="D40:F40"/>
    <mergeCell ref="D29:F29"/>
    <mergeCell ref="D28:F28"/>
    <mergeCell ref="D31:F31"/>
    <mergeCell ref="D30:F30"/>
    <mergeCell ref="D33:F33"/>
    <mergeCell ref="D32:F32"/>
    <mergeCell ref="D35:F35"/>
    <mergeCell ref="D34:F34"/>
    <mergeCell ref="D37:F37"/>
    <mergeCell ref="D36:F36"/>
    <mergeCell ref="D38:F38"/>
    <mergeCell ref="N3:Q3"/>
    <mergeCell ref="R3:S3"/>
    <mergeCell ref="J3:M3"/>
    <mergeCell ref="H3:I3"/>
    <mergeCell ref="J27:M27"/>
    <mergeCell ref="N27:Q27"/>
    <mergeCell ref="R27:S27"/>
    <mergeCell ref="H27:I27"/>
  </mergeCells>
  <pageMargins left="0.7" right="0.7" top="0.75" bottom="0.75" header="0" footer="0"/>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T41"/>
  <sheetViews>
    <sheetView showGridLines="0" workbookViewId="0"/>
  </sheetViews>
  <sheetFormatPr defaultColWidth="14.42578125" defaultRowHeight="15" customHeight="1" outlineLevelRow="1" x14ac:dyDescent="0.25"/>
  <cols>
    <col min="1" max="1" width="17.42578125" customWidth="1"/>
    <col min="2" max="2" width="29.140625" customWidth="1"/>
    <col min="3" max="3" width="20.85546875" customWidth="1"/>
    <col min="4" max="4" width="20.7109375" customWidth="1"/>
    <col min="5" max="6" width="17.140625" customWidth="1"/>
    <col min="7" max="7" width="17.28515625" customWidth="1"/>
    <col min="8" max="19" width="9.85546875" customWidth="1"/>
    <col min="20" max="20" width="7.85546875" customWidth="1"/>
    <col min="21" max="27" width="15.85546875" customWidth="1"/>
  </cols>
  <sheetData>
    <row r="1" spans="1:20" ht="23.25" x14ac:dyDescent="0.35">
      <c r="A1" s="1" t="s">
        <v>2</v>
      </c>
    </row>
    <row r="2" spans="1:20" x14ac:dyDescent="0.25">
      <c r="I2" s="5"/>
      <c r="J2" s="6"/>
      <c r="K2" s="5"/>
      <c r="L2" s="5"/>
      <c r="M2" s="5"/>
      <c r="N2" s="6"/>
      <c r="O2" s="5"/>
      <c r="P2" s="5"/>
      <c r="Q2" s="5"/>
      <c r="R2" s="6"/>
      <c r="S2" s="5"/>
      <c r="T2" s="5"/>
    </row>
    <row r="3" spans="1:20" ht="18.75" x14ac:dyDescent="0.3">
      <c r="A3" s="7" t="s">
        <v>4</v>
      </c>
      <c r="H3" s="790">
        <v>2019</v>
      </c>
      <c r="I3" s="789"/>
      <c r="J3" s="787">
        <v>2020</v>
      </c>
      <c r="K3" s="788"/>
      <c r="L3" s="788"/>
      <c r="M3" s="789"/>
      <c r="N3" s="787">
        <v>2021</v>
      </c>
      <c r="O3" s="788"/>
      <c r="P3" s="788"/>
      <c r="Q3" s="789"/>
      <c r="R3" s="790">
        <v>2022</v>
      </c>
      <c r="S3" s="789"/>
      <c r="T3" s="5"/>
    </row>
    <row r="4" spans="1:20" hidden="1" outlineLevel="1" x14ac:dyDescent="0.25">
      <c r="A4" s="8"/>
      <c r="B4" s="8"/>
      <c r="C4" s="8"/>
      <c r="D4" s="11"/>
      <c r="E4" s="8"/>
      <c r="F4" s="8"/>
      <c r="G4" s="11"/>
      <c r="H4" s="13">
        <v>43647</v>
      </c>
      <c r="I4" s="13">
        <v>43739</v>
      </c>
      <c r="J4" s="13">
        <v>43831</v>
      </c>
      <c r="K4" s="13">
        <v>43922</v>
      </c>
      <c r="L4" s="13">
        <v>44013</v>
      </c>
      <c r="M4" s="13">
        <v>44105</v>
      </c>
      <c r="N4" s="13">
        <v>44197</v>
      </c>
      <c r="O4" s="13">
        <v>44287</v>
      </c>
      <c r="P4" s="13">
        <v>44378</v>
      </c>
      <c r="Q4" s="13">
        <v>44470</v>
      </c>
      <c r="R4" s="13">
        <v>44562</v>
      </c>
      <c r="S4" s="13">
        <v>44652</v>
      </c>
      <c r="T4" s="5"/>
    </row>
    <row r="5" spans="1:20" ht="30" collapsed="1" x14ac:dyDescent="0.25">
      <c r="A5" s="15" t="s">
        <v>8</v>
      </c>
      <c r="B5" s="15" t="s">
        <v>11</v>
      </c>
      <c r="C5" s="15" t="s">
        <v>12</v>
      </c>
      <c r="D5" s="16" t="s">
        <v>13</v>
      </c>
      <c r="E5" s="17" t="s">
        <v>14</v>
      </c>
      <c r="F5" s="17" t="s">
        <v>15</v>
      </c>
      <c r="G5" s="16" t="s">
        <v>16</v>
      </c>
      <c r="H5" s="19" t="s">
        <v>10</v>
      </c>
      <c r="I5" s="21" t="s">
        <v>17</v>
      </c>
      <c r="J5" s="23" t="s">
        <v>18</v>
      </c>
      <c r="K5" s="25" t="s">
        <v>19</v>
      </c>
      <c r="L5" s="25" t="s">
        <v>10</v>
      </c>
      <c r="M5" s="21" t="s">
        <v>17</v>
      </c>
      <c r="N5" s="23" t="s">
        <v>18</v>
      </c>
      <c r="O5" s="25" t="s">
        <v>19</v>
      </c>
      <c r="P5" s="25" t="s">
        <v>10</v>
      </c>
      <c r="Q5" s="21" t="s">
        <v>17</v>
      </c>
      <c r="R5" s="23" t="s">
        <v>18</v>
      </c>
      <c r="S5" s="25" t="s">
        <v>19</v>
      </c>
      <c r="T5" s="5"/>
    </row>
    <row r="6" spans="1:20" x14ac:dyDescent="0.25">
      <c r="A6" s="27"/>
      <c r="B6" s="27"/>
      <c r="C6" s="30"/>
      <c r="D6" s="27"/>
      <c r="E6" s="37"/>
      <c r="F6" s="27"/>
      <c r="G6" s="39"/>
      <c r="H6" s="31">
        <f t="shared" ref="H6:R6" si="0">IF($E6&lt;I$4,($G6*1.3)/4,0)</f>
        <v>0</v>
      </c>
      <c r="I6" s="33">
        <f t="shared" si="0"/>
        <v>0</v>
      </c>
      <c r="J6" s="33">
        <f t="shared" si="0"/>
        <v>0</v>
      </c>
      <c r="K6" s="33">
        <f t="shared" si="0"/>
        <v>0</v>
      </c>
      <c r="L6" s="33">
        <f t="shared" si="0"/>
        <v>0</v>
      </c>
      <c r="M6" s="33">
        <f t="shared" si="0"/>
        <v>0</v>
      </c>
      <c r="N6" s="33">
        <f t="shared" si="0"/>
        <v>0</v>
      </c>
      <c r="O6" s="33">
        <f t="shared" si="0"/>
        <v>0</v>
      </c>
      <c r="P6" s="33">
        <f t="shared" si="0"/>
        <v>0</v>
      </c>
      <c r="Q6" s="33">
        <f t="shared" si="0"/>
        <v>0</v>
      </c>
      <c r="R6" s="33">
        <f t="shared" si="0"/>
        <v>0</v>
      </c>
      <c r="S6" s="33">
        <f t="shared" ref="S6:S24" si="1">IF($E6&lt;S$4,($G6*1.3)/4,0)</f>
        <v>0</v>
      </c>
      <c r="T6" s="5"/>
    </row>
    <row r="7" spans="1:20" x14ac:dyDescent="0.25">
      <c r="A7" s="40"/>
      <c r="B7" s="40"/>
      <c r="C7" s="35"/>
      <c r="D7" s="40"/>
      <c r="E7" s="42"/>
      <c r="F7" s="43"/>
      <c r="G7" s="44"/>
      <c r="H7" s="31">
        <f t="shared" ref="H7:R7" si="2">IF($E7&lt;I$4,($G7*1.3)/4,0)</f>
        <v>0</v>
      </c>
      <c r="I7" s="33">
        <f t="shared" si="2"/>
        <v>0</v>
      </c>
      <c r="J7" s="33">
        <f t="shared" si="2"/>
        <v>0</v>
      </c>
      <c r="K7" s="33">
        <f t="shared" si="2"/>
        <v>0</v>
      </c>
      <c r="L7" s="33">
        <f t="shared" si="2"/>
        <v>0</v>
      </c>
      <c r="M7" s="33">
        <f t="shared" si="2"/>
        <v>0</v>
      </c>
      <c r="N7" s="33">
        <f t="shared" si="2"/>
        <v>0</v>
      </c>
      <c r="O7" s="33">
        <f t="shared" si="2"/>
        <v>0</v>
      </c>
      <c r="P7" s="33">
        <f t="shared" si="2"/>
        <v>0</v>
      </c>
      <c r="Q7" s="33">
        <f t="shared" si="2"/>
        <v>0</v>
      </c>
      <c r="R7" s="33">
        <f t="shared" si="2"/>
        <v>0</v>
      </c>
      <c r="S7" s="33">
        <f t="shared" si="1"/>
        <v>0</v>
      </c>
      <c r="T7" s="5"/>
    </row>
    <row r="8" spans="1:20" x14ac:dyDescent="0.25">
      <c r="A8" s="40"/>
      <c r="B8" s="40"/>
      <c r="C8" s="35"/>
      <c r="D8" s="40"/>
      <c r="E8" s="42"/>
      <c r="F8" s="43"/>
      <c r="G8" s="44"/>
      <c r="H8" s="31">
        <f t="shared" ref="H8:R8" si="3">IF($E8&lt;I$4,($G8*1.3)/4,0)</f>
        <v>0</v>
      </c>
      <c r="I8" s="33">
        <f t="shared" si="3"/>
        <v>0</v>
      </c>
      <c r="J8" s="33">
        <f t="shared" si="3"/>
        <v>0</v>
      </c>
      <c r="K8" s="33">
        <f t="shared" si="3"/>
        <v>0</v>
      </c>
      <c r="L8" s="33">
        <f t="shared" si="3"/>
        <v>0</v>
      </c>
      <c r="M8" s="33">
        <f t="shared" si="3"/>
        <v>0</v>
      </c>
      <c r="N8" s="33">
        <f t="shared" si="3"/>
        <v>0</v>
      </c>
      <c r="O8" s="33">
        <f t="shared" si="3"/>
        <v>0</v>
      </c>
      <c r="P8" s="33">
        <f t="shared" si="3"/>
        <v>0</v>
      </c>
      <c r="Q8" s="33">
        <f t="shared" si="3"/>
        <v>0</v>
      </c>
      <c r="R8" s="33">
        <f t="shared" si="3"/>
        <v>0</v>
      </c>
      <c r="S8" s="33">
        <f t="shared" si="1"/>
        <v>0</v>
      </c>
      <c r="T8" s="5"/>
    </row>
    <row r="9" spans="1:20" x14ac:dyDescent="0.25">
      <c r="A9" s="40"/>
      <c r="B9" s="40"/>
      <c r="C9" s="35"/>
      <c r="D9" s="40"/>
      <c r="E9" s="42"/>
      <c r="F9" s="43"/>
      <c r="G9" s="44"/>
      <c r="H9" s="31">
        <f t="shared" ref="H9:R9" si="4">IF($E9&lt;I$4,($G9*1.3)/4,0)</f>
        <v>0</v>
      </c>
      <c r="I9" s="33">
        <f t="shared" si="4"/>
        <v>0</v>
      </c>
      <c r="J9" s="33">
        <f t="shared" si="4"/>
        <v>0</v>
      </c>
      <c r="K9" s="33">
        <f t="shared" si="4"/>
        <v>0</v>
      </c>
      <c r="L9" s="33">
        <f t="shared" si="4"/>
        <v>0</v>
      </c>
      <c r="M9" s="33">
        <f t="shared" si="4"/>
        <v>0</v>
      </c>
      <c r="N9" s="33">
        <f t="shared" si="4"/>
        <v>0</v>
      </c>
      <c r="O9" s="33">
        <f t="shared" si="4"/>
        <v>0</v>
      </c>
      <c r="P9" s="33">
        <f t="shared" si="4"/>
        <v>0</v>
      </c>
      <c r="Q9" s="33">
        <f t="shared" si="4"/>
        <v>0</v>
      </c>
      <c r="R9" s="33">
        <f t="shared" si="4"/>
        <v>0</v>
      </c>
      <c r="S9" s="33">
        <f t="shared" si="1"/>
        <v>0</v>
      </c>
      <c r="T9" s="5"/>
    </row>
    <row r="10" spans="1:20" x14ac:dyDescent="0.25">
      <c r="A10" s="40"/>
      <c r="B10" s="40"/>
      <c r="C10" s="35"/>
      <c r="D10" s="40"/>
      <c r="E10" s="42"/>
      <c r="F10" s="43"/>
      <c r="G10" s="44"/>
      <c r="H10" s="31">
        <f t="shared" ref="H10:R10" si="5">IF($E10&lt;I$4,($G10*1.3)/4,0)</f>
        <v>0</v>
      </c>
      <c r="I10" s="33">
        <f t="shared" si="5"/>
        <v>0</v>
      </c>
      <c r="J10" s="33">
        <f t="shared" si="5"/>
        <v>0</v>
      </c>
      <c r="K10" s="33">
        <f t="shared" si="5"/>
        <v>0</v>
      </c>
      <c r="L10" s="33">
        <f t="shared" si="5"/>
        <v>0</v>
      </c>
      <c r="M10" s="33">
        <f t="shared" si="5"/>
        <v>0</v>
      </c>
      <c r="N10" s="33">
        <f t="shared" si="5"/>
        <v>0</v>
      </c>
      <c r="O10" s="33">
        <f t="shared" si="5"/>
        <v>0</v>
      </c>
      <c r="P10" s="33">
        <f t="shared" si="5"/>
        <v>0</v>
      </c>
      <c r="Q10" s="33">
        <f t="shared" si="5"/>
        <v>0</v>
      </c>
      <c r="R10" s="33">
        <f t="shared" si="5"/>
        <v>0</v>
      </c>
      <c r="S10" s="33">
        <f t="shared" si="1"/>
        <v>0</v>
      </c>
      <c r="T10" s="5"/>
    </row>
    <row r="11" spans="1:20" x14ac:dyDescent="0.25">
      <c r="A11" s="40"/>
      <c r="B11" s="40"/>
      <c r="C11" s="35"/>
      <c r="D11" s="40"/>
      <c r="E11" s="42"/>
      <c r="F11" s="43"/>
      <c r="G11" s="44"/>
      <c r="H11" s="31">
        <f t="shared" ref="H11:R11" si="6">IF($E11&lt;I$4,($G11*1.3)/4,0)</f>
        <v>0</v>
      </c>
      <c r="I11" s="33">
        <f t="shared" si="6"/>
        <v>0</v>
      </c>
      <c r="J11" s="33">
        <f t="shared" si="6"/>
        <v>0</v>
      </c>
      <c r="K11" s="33">
        <f t="shared" si="6"/>
        <v>0</v>
      </c>
      <c r="L11" s="33">
        <f t="shared" si="6"/>
        <v>0</v>
      </c>
      <c r="M11" s="33">
        <f t="shared" si="6"/>
        <v>0</v>
      </c>
      <c r="N11" s="33">
        <f t="shared" si="6"/>
        <v>0</v>
      </c>
      <c r="O11" s="33">
        <f t="shared" si="6"/>
        <v>0</v>
      </c>
      <c r="P11" s="33">
        <f t="shared" si="6"/>
        <v>0</v>
      </c>
      <c r="Q11" s="33">
        <f t="shared" si="6"/>
        <v>0</v>
      </c>
      <c r="R11" s="33">
        <f t="shared" si="6"/>
        <v>0</v>
      </c>
      <c r="S11" s="33">
        <f t="shared" si="1"/>
        <v>0</v>
      </c>
      <c r="T11" s="5"/>
    </row>
    <row r="12" spans="1:20" x14ac:dyDescent="0.25">
      <c r="A12" s="40"/>
      <c r="B12" s="40"/>
      <c r="C12" s="35"/>
      <c r="D12" s="40"/>
      <c r="E12" s="42"/>
      <c r="F12" s="43"/>
      <c r="G12" s="44"/>
      <c r="H12" s="31">
        <f t="shared" ref="H12:R12" si="7">IF($E12&lt;I$4,($G12*1.3)/4,0)</f>
        <v>0</v>
      </c>
      <c r="I12" s="33">
        <f t="shared" si="7"/>
        <v>0</v>
      </c>
      <c r="J12" s="33">
        <f t="shared" si="7"/>
        <v>0</v>
      </c>
      <c r="K12" s="33">
        <f t="shared" si="7"/>
        <v>0</v>
      </c>
      <c r="L12" s="33">
        <f t="shared" si="7"/>
        <v>0</v>
      </c>
      <c r="M12" s="33">
        <f t="shared" si="7"/>
        <v>0</v>
      </c>
      <c r="N12" s="33">
        <f t="shared" si="7"/>
        <v>0</v>
      </c>
      <c r="O12" s="33">
        <f t="shared" si="7"/>
        <v>0</v>
      </c>
      <c r="P12" s="33">
        <f t="shared" si="7"/>
        <v>0</v>
      </c>
      <c r="Q12" s="33">
        <f t="shared" si="7"/>
        <v>0</v>
      </c>
      <c r="R12" s="33">
        <f t="shared" si="7"/>
        <v>0</v>
      </c>
      <c r="S12" s="33">
        <f t="shared" si="1"/>
        <v>0</v>
      </c>
      <c r="T12" s="5"/>
    </row>
    <row r="13" spans="1:20" x14ac:dyDescent="0.25">
      <c r="A13" s="40"/>
      <c r="B13" s="40"/>
      <c r="C13" s="35"/>
      <c r="D13" s="40"/>
      <c r="E13" s="42"/>
      <c r="F13" s="43"/>
      <c r="G13" s="44"/>
      <c r="H13" s="31">
        <f t="shared" ref="H13:R13" si="8">IF($E13&lt;I$4,($G13*1.3)/4,0)</f>
        <v>0</v>
      </c>
      <c r="I13" s="33">
        <f t="shared" si="8"/>
        <v>0</v>
      </c>
      <c r="J13" s="33">
        <f t="shared" si="8"/>
        <v>0</v>
      </c>
      <c r="K13" s="33">
        <f t="shared" si="8"/>
        <v>0</v>
      </c>
      <c r="L13" s="33">
        <f t="shared" si="8"/>
        <v>0</v>
      </c>
      <c r="M13" s="33">
        <f t="shared" si="8"/>
        <v>0</v>
      </c>
      <c r="N13" s="33">
        <f t="shared" si="8"/>
        <v>0</v>
      </c>
      <c r="O13" s="33">
        <f t="shared" si="8"/>
        <v>0</v>
      </c>
      <c r="P13" s="33">
        <f t="shared" si="8"/>
        <v>0</v>
      </c>
      <c r="Q13" s="33">
        <f t="shared" si="8"/>
        <v>0</v>
      </c>
      <c r="R13" s="33">
        <f t="shared" si="8"/>
        <v>0</v>
      </c>
      <c r="S13" s="33">
        <f t="shared" si="1"/>
        <v>0</v>
      </c>
      <c r="T13" s="5"/>
    </row>
    <row r="14" spans="1:20" x14ac:dyDescent="0.25">
      <c r="A14" s="40"/>
      <c r="B14" s="40"/>
      <c r="C14" s="35"/>
      <c r="D14" s="40"/>
      <c r="E14" s="42"/>
      <c r="F14" s="43"/>
      <c r="G14" s="44"/>
      <c r="H14" s="31">
        <f t="shared" ref="H14:R14" si="9">IF($E14&lt;I$4,($G14*1.3)/4,0)</f>
        <v>0</v>
      </c>
      <c r="I14" s="33">
        <f t="shared" si="9"/>
        <v>0</v>
      </c>
      <c r="J14" s="33">
        <f t="shared" si="9"/>
        <v>0</v>
      </c>
      <c r="K14" s="33">
        <f t="shared" si="9"/>
        <v>0</v>
      </c>
      <c r="L14" s="33">
        <f t="shared" si="9"/>
        <v>0</v>
      </c>
      <c r="M14" s="33">
        <f t="shared" si="9"/>
        <v>0</v>
      </c>
      <c r="N14" s="33">
        <f t="shared" si="9"/>
        <v>0</v>
      </c>
      <c r="O14" s="33">
        <f t="shared" si="9"/>
        <v>0</v>
      </c>
      <c r="P14" s="33">
        <f t="shared" si="9"/>
        <v>0</v>
      </c>
      <c r="Q14" s="33">
        <f t="shared" si="9"/>
        <v>0</v>
      </c>
      <c r="R14" s="33">
        <f t="shared" si="9"/>
        <v>0</v>
      </c>
      <c r="S14" s="33">
        <f t="shared" si="1"/>
        <v>0</v>
      </c>
      <c r="T14" s="5"/>
    </row>
    <row r="15" spans="1:20" x14ac:dyDescent="0.25">
      <c r="A15" s="40"/>
      <c r="B15" s="40"/>
      <c r="C15" s="35"/>
      <c r="D15" s="40"/>
      <c r="E15" s="42"/>
      <c r="F15" s="43"/>
      <c r="G15" s="44"/>
      <c r="H15" s="31">
        <f t="shared" ref="H15:R15" si="10">IF($E15&lt;I$4,($G15*1.3)/4,0)</f>
        <v>0</v>
      </c>
      <c r="I15" s="33">
        <f t="shared" si="10"/>
        <v>0</v>
      </c>
      <c r="J15" s="33">
        <f t="shared" si="10"/>
        <v>0</v>
      </c>
      <c r="K15" s="33">
        <f t="shared" si="10"/>
        <v>0</v>
      </c>
      <c r="L15" s="33">
        <f t="shared" si="10"/>
        <v>0</v>
      </c>
      <c r="M15" s="33">
        <f t="shared" si="10"/>
        <v>0</v>
      </c>
      <c r="N15" s="33">
        <f t="shared" si="10"/>
        <v>0</v>
      </c>
      <c r="O15" s="33">
        <f t="shared" si="10"/>
        <v>0</v>
      </c>
      <c r="P15" s="33">
        <f t="shared" si="10"/>
        <v>0</v>
      </c>
      <c r="Q15" s="33">
        <f t="shared" si="10"/>
        <v>0</v>
      </c>
      <c r="R15" s="33">
        <f t="shared" si="10"/>
        <v>0</v>
      </c>
      <c r="S15" s="33">
        <f t="shared" si="1"/>
        <v>0</v>
      </c>
      <c r="T15" s="5"/>
    </row>
    <row r="16" spans="1:20" x14ac:dyDescent="0.25">
      <c r="A16" s="40"/>
      <c r="B16" s="40"/>
      <c r="C16" s="35"/>
      <c r="D16" s="40"/>
      <c r="E16" s="42"/>
      <c r="F16" s="43"/>
      <c r="G16" s="44"/>
      <c r="H16" s="31">
        <f t="shared" ref="H16:R16" si="11">IF($E16&lt;I$4,($G16*1.3)/4,0)</f>
        <v>0</v>
      </c>
      <c r="I16" s="33">
        <f t="shared" si="11"/>
        <v>0</v>
      </c>
      <c r="J16" s="33">
        <f t="shared" si="11"/>
        <v>0</v>
      </c>
      <c r="K16" s="33">
        <f t="shared" si="11"/>
        <v>0</v>
      </c>
      <c r="L16" s="33">
        <f t="shared" si="11"/>
        <v>0</v>
      </c>
      <c r="M16" s="33">
        <f t="shared" si="11"/>
        <v>0</v>
      </c>
      <c r="N16" s="33">
        <f t="shared" si="11"/>
        <v>0</v>
      </c>
      <c r="O16" s="33">
        <f t="shared" si="11"/>
        <v>0</v>
      </c>
      <c r="P16" s="33">
        <f t="shared" si="11"/>
        <v>0</v>
      </c>
      <c r="Q16" s="33">
        <f t="shared" si="11"/>
        <v>0</v>
      </c>
      <c r="R16" s="33">
        <f t="shared" si="11"/>
        <v>0</v>
      </c>
      <c r="S16" s="33">
        <f t="shared" si="1"/>
        <v>0</v>
      </c>
      <c r="T16" s="5"/>
    </row>
    <row r="17" spans="1:20" x14ac:dyDescent="0.25">
      <c r="A17" s="40"/>
      <c r="B17" s="40"/>
      <c r="C17" s="35"/>
      <c r="D17" s="40"/>
      <c r="E17" s="40"/>
      <c r="F17" s="43"/>
      <c r="G17" s="44"/>
      <c r="H17" s="31">
        <f t="shared" ref="H17:R17" si="12">IF($E17&lt;I$4,($G17*1.3)/4,0)</f>
        <v>0</v>
      </c>
      <c r="I17" s="33">
        <f t="shared" si="12"/>
        <v>0</v>
      </c>
      <c r="J17" s="33">
        <f t="shared" si="12"/>
        <v>0</v>
      </c>
      <c r="K17" s="33">
        <f t="shared" si="12"/>
        <v>0</v>
      </c>
      <c r="L17" s="33">
        <f t="shared" si="12"/>
        <v>0</v>
      </c>
      <c r="M17" s="33">
        <f t="shared" si="12"/>
        <v>0</v>
      </c>
      <c r="N17" s="33">
        <f t="shared" si="12"/>
        <v>0</v>
      </c>
      <c r="O17" s="33">
        <f t="shared" si="12"/>
        <v>0</v>
      </c>
      <c r="P17" s="33">
        <f t="shared" si="12"/>
        <v>0</v>
      </c>
      <c r="Q17" s="33">
        <f t="shared" si="12"/>
        <v>0</v>
      </c>
      <c r="R17" s="33">
        <f t="shared" si="12"/>
        <v>0</v>
      </c>
      <c r="S17" s="33">
        <f t="shared" si="1"/>
        <v>0</v>
      </c>
      <c r="T17" s="5"/>
    </row>
    <row r="18" spans="1:20" x14ac:dyDescent="0.25">
      <c r="A18" s="40"/>
      <c r="B18" s="40"/>
      <c r="C18" s="35"/>
      <c r="D18" s="40"/>
      <c r="E18" s="40"/>
      <c r="F18" s="43"/>
      <c r="G18" s="44"/>
      <c r="H18" s="31">
        <f t="shared" ref="H18:R18" si="13">IF($E18&lt;I$4,($G18*1.3)/4,0)</f>
        <v>0</v>
      </c>
      <c r="I18" s="33">
        <f t="shared" si="13"/>
        <v>0</v>
      </c>
      <c r="J18" s="33">
        <f t="shared" si="13"/>
        <v>0</v>
      </c>
      <c r="K18" s="33">
        <f t="shared" si="13"/>
        <v>0</v>
      </c>
      <c r="L18" s="33">
        <f t="shared" si="13"/>
        <v>0</v>
      </c>
      <c r="M18" s="33">
        <f t="shared" si="13"/>
        <v>0</v>
      </c>
      <c r="N18" s="33">
        <f t="shared" si="13"/>
        <v>0</v>
      </c>
      <c r="O18" s="33">
        <f t="shared" si="13"/>
        <v>0</v>
      </c>
      <c r="P18" s="33">
        <f t="shared" si="13"/>
        <v>0</v>
      </c>
      <c r="Q18" s="33">
        <f t="shared" si="13"/>
        <v>0</v>
      </c>
      <c r="R18" s="33">
        <f t="shared" si="13"/>
        <v>0</v>
      </c>
      <c r="S18" s="33">
        <f t="shared" si="1"/>
        <v>0</v>
      </c>
      <c r="T18" s="5"/>
    </row>
    <row r="19" spans="1:20" x14ac:dyDescent="0.25">
      <c r="A19" s="40"/>
      <c r="B19" s="40"/>
      <c r="C19" s="35"/>
      <c r="D19" s="40"/>
      <c r="E19" s="40"/>
      <c r="F19" s="43"/>
      <c r="G19" s="44"/>
      <c r="H19" s="31">
        <f t="shared" ref="H19:R19" si="14">IF($E19&lt;I$4,($G19*1.3)/4,0)</f>
        <v>0</v>
      </c>
      <c r="I19" s="33">
        <f t="shared" si="14"/>
        <v>0</v>
      </c>
      <c r="J19" s="33">
        <f t="shared" si="14"/>
        <v>0</v>
      </c>
      <c r="K19" s="33">
        <f t="shared" si="14"/>
        <v>0</v>
      </c>
      <c r="L19" s="33">
        <f t="shared" si="14"/>
        <v>0</v>
      </c>
      <c r="M19" s="33">
        <f t="shared" si="14"/>
        <v>0</v>
      </c>
      <c r="N19" s="33">
        <f t="shared" si="14"/>
        <v>0</v>
      </c>
      <c r="O19" s="33">
        <f t="shared" si="14"/>
        <v>0</v>
      </c>
      <c r="P19" s="33">
        <f t="shared" si="14"/>
        <v>0</v>
      </c>
      <c r="Q19" s="33">
        <f t="shared" si="14"/>
        <v>0</v>
      </c>
      <c r="R19" s="33">
        <f t="shared" si="14"/>
        <v>0</v>
      </c>
      <c r="S19" s="33">
        <f t="shared" si="1"/>
        <v>0</v>
      </c>
      <c r="T19" s="5"/>
    </row>
    <row r="20" spans="1:20" x14ac:dyDescent="0.25">
      <c r="A20" s="40"/>
      <c r="B20" s="40"/>
      <c r="C20" s="35"/>
      <c r="D20" s="40"/>
      <c r="E20" s="43"/>
      <c r="F20" s="43"/>
      <c r="G20" s="44"/>
      <c r="H20" s="31">
        <f t="shared" ref="H20:R20" si="15">IF($E20&lt;I$4,($G20*1.3)/4,0)</f>
        <v>0</v>
      </c>
      <c r="I20" s="33">
        <f t="shared" si="15"/>
        <v>0</v>
      </c>
      <c r="J20" s="33">
        <f t="shared" si="15"/>
        <v>0</v>
      </c>
      <c r="K20" s="33">
        <f t="shared" si="15"/>
        <v>0</v>
      </c>
      <c r="L20" s="33">
        <f t="shared" si="15"/>
        <v>0</v>
      </c>
      <c r="M20" s="33">
        <f t="shared" si="15"/>
        <v>0</v>
      </c>
      <c r="N20" s="33">
        <f t="shared" si="15"/>
        <v>0</v>
      </c>
      <c r="O20" s="33">
        <f t="shared" si="15"/>
        <v>0</v>
      </c>
      <c r="P20" s="33">
        <f t="shared" si="15"/>
        <v>0</v>
      </c>
      <c r="Q20" s="33">
        <f t="shared" si="15"/>
        <v>0</v>
      </c>
      <c r="R20" s="33">
        <f t="shared" si="15"/>
        <v>0</v>
      </c>
      <c r="S20" s="33">
        <f t="shared" si="1"/>
        <v>0</v>
      </c>
      <c r="T20" s="5"/>
    </row>
    <row r="21" spans="1:20" x14ac:dyDescent="0.25">
      <c r="A21" s="40"/>
      <c r="B21" s="40"/>
      <c r="C21" s="35"/>
      <c r="D21" s="40"/>
      <c r="E21" s="43"/>
      <c r="F21" s="43"/>
      <c r="G21" s="44"/>
      <c r="H21" s="31">
        <f t="shared" ref="H21:R21" si="16">IF($E21&lt;I$4,($G21*1.3)/4,0)</f>
        <v>0</v>
      </c>
      <c r="I21" s="33">
        <f t="shared" si="16"/>
        <v>0</v>
      </c>
      <c r="J21" s="33">
        <f t="shared" si="16"/>
        <v>0</v>
      </c>
      <c r="K21" s="33">
        <f t="shared" si="16"/>
        <v>0</v>
      </c>
      <c r="L21" s="33">
        <f t="shared" si="16"/>
        <v>0</v>
      </c>
      <c r="M21" s="33">
        <f t="shared" si="16"/>
        <v>0</v>
      </c>
      <c r="N21" s="33">
        <f t="shared" si="16"/>
        <v>0</v>
      </c>
      <c r="O21" s="33">
        <f t="shared" si="16"/>
        <v>0</v>
      </c>
      <c r="P21" s="33">
        <f t="shared" si="16"/>
        <v>0</v>
      </c>
      <c r="Q21" s="33">
        <f t="shared" si="16"/>
        <v>0</v>
      </c>
      <c r="R21" s="33">
        <f t="shared" si="16"/>
        <v>0</v>
      </c>
      <c r="S21" s="33">
        <f t="shared" si="1"/>
        <v>0</v>
      </c>
      <c r="T21" s="5"/>
    </row>
    <row r="22" spans="1:20" x14ac:dyDescent="0.25">
      <c r="A22" s="66"/>
      <c r="B22" s="66"/>
      <c r="C22" s="76"/>
      <c r="D22" s="77"/>
      <c r="E22" s="66"/>
      <c r="F22" s="66"/>
      <c r="G22" s="79"/>
      <c r="H22" s="31">
        <f t="shared" ref="H22:R22" si="17">IF($E22&lt;I$4,($G22*1.3)/4,0)</f>
        <v>0</v>
      </c>
      <c r="I22" s="33">
        <f t="shared" si="17"/>
        <v>0</v>
      </c>
      <c r="J22" s="33">
        <f t="shared" si="17"/>
        <v>0</v>
      </c>
      <c r="K22" s="33">
        <f t="shared" si="17"/>
        <v>0</v>
      </c>
      <c r="L22" s="33">
        <f t="shared" si="17"/>
        <v>0</v>
      </c>
      <c r="M22" s="33">
        <f t="shared" si="17"/>
        <v>0</v>
      </c>
      <c r="N22" s="33">
        <f t="shared" si="17"/>
        <v>0</v>
      </c>
      <c r="O22" s="33">
        <f t="shared" si="17"/>
        <v>0</v>
      </c>
      <c r="P22" s="33">
        <f t="shared" si="17"/>
        <v>0</v>
      </c>
      <c r="Q22" s="33">
        <f t="shared" si="17"/>
        <v>0</v>
      </c>
      <c r="R22" s="33">
        <f t="shared" si="17"/>
        <v>0</v>
      </c>
      <c r="S22" s="33">
        <f t="shared" si="1"/>
        <v>0</v>
      </c>
      <c r="T22" s="5"/>
    </row>
    <row r="23" spans="1:20" x14ac:dyDescent="0.25">
      <c r="A23" s="66"/>
      <c r="B23" s="66"/>
      <c r="C23" s="76"/>
      <c r="D23" s="77"/>
      <c r="E23" s="66"/>
      <c r="F23" s="66"/>
      <c r="G23" s="79"/>
      <c r="H23" s="31">
        <f t="shared" ref="H23:R23" si="18">IF($E23&lt;I$4,($G23*1.3)/4,0)</f>
        <v>0</v>
      </c>
      <c r="I23" s="33">
        <f t="shared" si="18"/>
        <v>0</v>
      </c>
      <c r="J23" s="33">
        <f t="shared" si="18"/>
        <v>0</v>
      </c>
      <c r="K23" s="33">
        <f t="shared" si="18"/>
        <v>0</v>
      </c>
      <c r="L23" s="33">
        <f t="shared" si="18"/>
        <v>0</v>
      </c>
      <c r="M23" s="33">
        <f t="shared" si="18"/>
        <v>0</v>
      </c>
      <c r="N23" s="33">
        <f t="shared" si="18"/>
        <v>0</v>
      </c>
      <c r="O23" s="33">
        <f t="shared" si="18"/>
        <v>0</v>
      </c>
      <c r="P23" s="33">
        <f t="shared" si="18"/>
        <v>0</v>
      </c>
      <c r="Q23" s="33">
        <f t="shared" si="18"/>
        <v>0</v>
      </c>
      <c r="R23" s="33">
        <f t="shared" si="18"/>
        <v>0</v>
      </c>
      <c r="S23" s="33">
        <f t="shared" si="1"/>
        <v>0</v>
      </c>
      <c r="T23" s="5"/>
    </row>
    <row r="24" spans="1:20" x14ac:dyDescent="0.25">
      <c r="A24" s="66"/>
      <c r="B24" s="66"/>
      <c r="C24" s="76"/>
      <c r="D24" s="77"/>
      <c r="E24" s="66"/>
      <c r="F24" s="66"/>
      <c r="G24" s="79"/>
      <c r="H24" s="31">
        <f t="shared" ref="H24:R24" si="19">IF($E24&lt;I$4,($G24*1.3)/4,0)</f>
        <v>0</v>
      </c>
      <c r="I24" s="33">
        <f t="shared" si="19"/>
        <v>0</v>
      </c>
      <c r="J24" s="33">
        <f t="shared" si="19"/>
        <v>0</v>
      </c>
      <c r="K24" s="33">
        <f t="shared" si="19"/>
        <v>0</v>
      </c>
      <c r="L24" s="33">
        <f t="shared" si="19"/>
        <v>0</v>
      </c>
      <c r="M24" s="33">
        <f t="shared" si="19"/>
        <v>0</v>
      </c>
      <c r="N24" s="33">
        <f t="shared" si="19"/>
        <v>0</v>
      </c>
      <c r="O24" s="33">
        <f t="shared" si="19"/>
        <v>0</v>
      </c>
      <c r="P24" s="33">
        <f t="shared" si="19"/>
        <v>0</v>
      </c>
      <c r="Q24" s="33">
        <f t="shared" si="19"/>
        <v>0</v>
      </c>
      <c r="R24" s="33">
        <f t="shared" si="19"/>
        <v>0</v>
      </c>
      <c r="S24" s="33">
        <f t="shared" si="1"/>
        <v>0</v>
      </c>
      <c r="T24" s="5"/>
    </row>
    <row r="25" spans="1:20" x14ac:dyDescent="0.25">
      <c r="A25" s="50"/>
      <c r="B25" s="50"/>
      <c r="C25" s="50"/>
      <c r="D25" s="50"/>
      <c r="E25" s="50"/>
      <c r="F25" s="50"/>
      <c r="G25" s="50"/>
      <c r="H25" s="81">
        <f t="shared" ref="H25:S25" si="20">SUM(H6:H24)</f>
        <v>0</v>
      </c>
      <c r="I25" s="82">
        <f t="shared" si="20"/>
        <v>0</v>
      </c>
      <c r="J25" s="82">
        <f t="shared" si="20"/>
        <v>0</v>
      </c>
      <c r="K25" s="82">
        <f t="shared" si="20"/>
        <v>0</v>
      </c>
      <c r="L25" s="82">
        <f t="shared" si="20"/>
        <v>0</v>
      </c>
      <c r="M25" s="82">
        <f t="shared" si="20"/>
        <v>0</v>
      </c>
      <c r="N25" s="82">
        <f t="shared" si="20"/>
        <v>0</v>
      </c>
      <c r="O25" s="82">
        <f t="shared" si="20"/>
        <v>0</v>
      </c>
      <c r="P25" s="82">
        <f t="shared" si="20"/>
        <v>0</v>
      </c>
      <c r="Q25" s="82">
        <f t="shared" si="20"/>
        <v>0</v>
      </c>
      <c r="R25" s="82">
        <f t="shared" si="20"/>
        <v>0</v>
      </c>
      <c r="S25" s="82">
        <f t="shared" si="20"/>
        <v>0</v>
      </c>
      <c r="T25" s="5"/>
    </row>
    <row r="26" spans="1:20" x14ac:dyDescent="0.25">
      <c r="B26" s="5"/>
      <c r="C26" s="5"/>
      <c r="D26" s="5"/>
      <c r="E26" s="5"/>
      <c r="F26" s="5"/>
      <c r="G26" s="5"/>
      <c r="H26" s="5"/>
      <c r="I26" s="5"/>
      <c r="J26" s="5"/>
      <c r="K26" s="5"/>
      <c r="L26" s="5"/>
      <c r="M26" s="5"/>
      <c r="N26" s="5"/>
      <c r="O26" s="5"/>
      <c r="P26" s="5"/>
      <c r="Q26" s="5"/>
      <c r="R26" s="5"/>
      <c r="S26" s="5"/>
    </row>
    <row r="27" spans="1:20" ht="18.75" x14ac:dyDescent="0.3">
      <c r="A27" s="7" t="s">
        <v>67</v>
      </c>
      <c r="B27" s="5"/>
      <c r="C27" s="5"/>
      <c r="D27" s="5"/>
      <c r="E27" s="5"/>
      <c r="F27" s="5"/>
      <c r="G27" s="5"/>
      <c r="H27" s="790">
        <v>2019</v>
      </c>
      <c r="I27" s="789"/>
      <c r="J27" s="787">
        <v>2020</v>
      </c>
      <c r="K27" s="788"/>
      <c r="L27" s="788"/>
      <c r="M27" s="789"/>
      <c r="N27" s="787">
        <v>2021</v>
      </c>
      <c r="O27" s="788"/>
      <c r="P27" s="788"/>
      <c r="Q27" s="789"/>
      <c r="R27" s="790">
        <v>2022</v>
      </c>
      <c r="S27" s="789"/>
    </row>
    <row r="28" spans="1:20" ht="30" x14ac:dyDescent="0.25">
      <c r="A28" s="54" t="s">
        <v>8</v>
      </c>
      <c r="B28" s="54" t="s">
        <v>11</v>
      </c>
      <c r="C28" s="54" t="s">
        <v>71</v>
      </c>
      <c r="D28" s="791" t="s">
        <v>72</v>
      </c>
      <c r="E28" s="792"/>
      <c r="F28" s="793"/>
      <c r="G28" s="55" t="s">
        <v>73</v>
      </c>
      <c r="H28" s="18" t="s">
        <v>10</v>
      </c>
      <c r="I28" s="20" t="s">
        <v>17</v>
      </c>
      <c r="J28" s="22" t="s">
        <v>18</v>
      </c>
      <c r="K28" s="18" t="s">
        <v>19</v>
      </c>
      <c r="L28" s="18" t="s">
        <v>10</v>
      </c>
      <c r="M28" s="20" t="s">
        <v>17</v>
      </c>
      <c r="N28" s="22" t="s">
        <v>18</v>
      </c>
      <c r="O28" s="18" t="s">
        <v>19</v>
      </c>
      <c r="P28" s="18" t="s">
        <v>10</v>
      </c>
      <c r="Q28" s="20" t="s">
        <v>17</v>
      </c>
      <c r="R28" s="22" t="s">
        <v>18</v>
      </c>
      <c r="S28" s="18" t="s">
        <v>19</v>
      </c>
    </row>
    <row r="29" spans="1:20" x14ac:dyDescent="0.25">
      <c r="A29" s="40"/>
      <c r="B29" s="40"/>
      <c r="C29" s="40"/>
      <c r="D29" s="794"/>
      <c r="E29" s="795"/>
      <c r="F29" s="796"/>
      <c r="G29" s="58"/>
      <c r="H29" s="56"/>
      <c r="I29" s="57"/>
      <c r="J29" s="57"/>
      <c r="K29" s="57"/>
      <c r="L29" s="57"/>
      <c r="M29" s="57"/>
      <c r="N29" s="57"/>
      <c r="O29" s="57"/>
      <c r="P29" s="57"/>
      <c r="Q29" s="57"/>
      <c r="R29" s="57"/>
      <c r="S29" s="57"/>
    </row>
    <row r="30" spans="1:20" x14ac:dyDescent="0.25">
      <c r="A30" s="40"/>
      <c r="B30" s="40"/>
      <c r="C30" s="40"/>
      <c r="D30" s="794"/>
      <c r="E30" s="795"/>
      <c r="F30" s="796"/>
      <c r="G30" s="58"/>
      <c r="H30" s="56"/>
      <c r="I30" s="57"/>
      <c r="J30" s="57"/>
      <c r="K30" s="57"/>
      <c r="L30" s="57"/>
      <c r="M30" s="57"/>
      <c r="N30" s="57"/>
      <c r="O30" s="57"/>
      <c r="P30" s="57"/>
      <c r="Q30" s="57"/>
      <c r="R30" s="57"/>
      <c r="S30" s="57"/>
    </row>
    <row r="31" spans="1:20" x14ac:dyDescent="0.25">
      <c r="A31" s="40"/>
      <c r="B31" s="40"/>
      <c r="C31" s="40"/>
      <c r="D31" s="794"/>
      <c r="E31" s="795"/>
      <c r="F31" s="796"/>
      <c r="G31" s="58"/>
      <c r="H31" s="56"/>
      <c r="I31" s="59"/>
      <c r="J31" s="57"/>
      <c r="K31" s="57"/>
      <c r="L31" s="57"/>
      <c r="M31" s="57"/>
      <c r="N31" s="57"/>
      <c r="O31" s="57"/>
      <c r="P31" s="57"/>
      <c r="Q31" s="57"/>
      <c r="R31" s="57"/>
      <c r="S31" s="57"/>
    </row>
    <row r="32" spans="1:20" x14ac:dyDescent="0.25">
      <c r="A32" s="40"/>
      <c r="B32" s="40"/>
      <c r="C32" s="40"/>
      <c r="D32" s="794"/>
      <c r="E32" s="795"/>
      <c r="F32" s="796"/>
      <c r="G32" s="58"/>
      <c r="H32" s="56"/>
      <c r="I32" s="59"/>
      <c r="J32" s="57"/>
      <c r="K32" s="57"/>
      <c r="L32" s="57"/>
      <c r="M32" s="57"/>
      <c r="N32" s="57"/>
      <c r="O32" s="57"/>
      <c r="P32" s="57"/>
      <c r="Q32" s="57"/>
      <c r="R32" s="57"/>
      <c r="S32" s="57"/>
    </row>
    <row r="33" spans="1:19" x14ac:dyDescent="0.25">
      <c r="A33" s="40"/>
      <c r="B33" s="40"/>
      <c r="C33" s="40"/>
      <c r="D33" s="794"/>
      <c r="E33" s="795"/>
      <c r="F33" s="796"/>
      <c r="G33" s="58"/>
      <c r="H33" s="56"/>
      <c r="I33" s="59"/>
      <c r="J33" s="57"/>
      <c r="K33" s="57"/>
      <c r="L33" s="57"/>
      <c r="M33" s="57"/>
      <c r="N33" s="57"/>
      <c r="O33" s="57"/>
      <c r="P33" s="57"/>
      <c r="Q33" s="57"/>
      <c r="R33" s="57"/>
      <c r="S33" s="57"/>
    </row>
    <row r="34" spans="1:19" x14ac:dyDescent="0.25">
      <c r="A34" s="40"/>
      <c r="B34" s="40"/>
      <c r="C34" s="40"/>
      <c r="D34" s="794"/>
      <c r="E34" s="795"/>
      <c r="F34" s="796"/>
      <c r="G34" s="58"/>
      <c r="H34" s="56"/>
      <c r="I34" s="59"/>
      <c r="J34" s="57"/>
      <c r="K34" s="57"/>
      <c r="L34" s="57"/>
      <c r="M34" s="57"/>
      <c r="N34" s="57"/>
      <c r="O34" s="57"/>
      <c r="P34" s="57"/>
      <c r="Q34" s="57"/>
      <c r="R34" s="57"/>
      <c r="S34" s="57"/>
    </row>
    <row r="35" spans="1:19" x14ac:dyDescent="0.25">
      <c r="A35" s="40"/>
      <c r="B35" s="40"/>
      <c r="C35" s="60"/>
      <c r="D35" s="794"/>
      <c r="E35" s="795"/>
      <c r="F35" s="796"/>
      <c r="G35" s="58"/>
      <c r="H35" s="63"/>
      <c r="I35" s="57"/>
      <c r="J35" s="57"/>
      <c r="K35" s="57"/>
      <c r="L35" s="57"/>
      <c r="M35" s="57"/>
      <c r="N35" s="57"/>
      <c r="O35" s="57"/>
      <c r="P35" s="57"/>
      <c r="Q35" s="57"/>
      <c r="R35" s="57"/>
      <c r="S35" s="57"/>
    </row>
    <row r="36" spans="1:19" x14ac:dyDescent="0.25">
      <c r="A36" s="40"/>
      <c r="B36" s="40"/>
      <c r="C36" s="60"/>
      <c r="D36" s="794"/>
      <c r="E36" s="795"/>
      <c r="F36" s="796"/>
      <c r="G36" s="58"/>
      <c r="H36" s="63"/>
      <c r="I36" s="57"/>
      <c r="J36" s="57"/>
      <c r="K36" s="57"/>
      <c r="L36" s="57"/>
      <c r="M36" s="57"/>
      <c r="N36" s="57"/>
      <c r="O36" s="57"/>
      <c r="P36" s="57"/>
      <c r="Q36" s="57"/>
      <c r="R36" s="57"/>
      <c r="S36" s="57"/>
    </row>
    <row r="37" spans="1:19" x14ac:dyDescent="0.25">
      <c r="A37" s="40"/>
      <c r="B37" s="40"/>
      <c r="C37" s="60"/>
      <c r="D37" s="794"/>
      <c r="E37" s="795"/>
      <c r="F37" s="796"/>
      <c r="G37" s="58"/>
      <c r="H37" s="63"/>
      <c r="I37" s="57"/>
      <c r="J37" s="57"/>
      <c r="K37" s="57"/>
      <c r="L37" s="57"/>
      <c r="M37" s="57"/>
      <c r="N37" s="57"/>
      <c r="O37" s="57"/>
      <c r="P37" s="57"/>
      <c r="Q37" s="57"/>
      <c r="R37" s="57"/>
      <c r="S37" s="57"/>
    </row>
    <row r="38" spans="1:19" x14ac:dyDescent="0.25">
      <c r="A38" s="40"/>
      <c r="B38" s="40"/>
      <c r="C38" s="40"/>
      <c r="D38" s="794"/>
      <c r="E38" s="795"/>
      <c r="F38" s="796"/>
      <c r="G38" s="58"/>
      <c r="H38" s="63"/>
      <c r="I38" s="57"/>
      <c r="J38" s="57"/>
      <c r="K38" s="57"/>
      <c r="L38" s="57"/>
      <c r="M38" s="57"/>
      <c r="N38" s="57"/>
      <c r="O38" s="57"/>
      <c r="P38" s="57"/>
      <c r="Q38" s="57"/>
      <c r="R38" s="57"/>
      <c r="S38" s="57"/>
    </row>
    <row r="39" spans="1:19" x14ac:dyDescent="0.25">
      <c r="A39" s="66"/>
      <c r="B39" s="40"/>
      <c r="C39" s="40"/>
      <c r="D39" s="794"/>
      <c r="E39" s="795"/>
      <c r="F39" s="796"/>
      <c r="G39" s="68"/>
      <c r="H39" s="69"/>
      <c r="I39" s="70"/>
      <c r="J39" s="70"/>
      <c r="K39" s="70"/>
      <c r="L39" s="70"/>
      <c r="M39" s="70"/>
      <c r="N39" s="70"/>
      <c r="O39" s="70"/>
      <c r="P39" s="70"/>
      <c r="Q39" s="70"/>
      <c r="R39" s="70"/>
      <c r="S39" s="70"/>
    </row>
    <row r="40" spans="1:19" x14ac:dyDescent="0.25">
      <c r="A40" s="66"/>
      <c r="B40" s="66"/>
      <c r="C40" s="66"/>
      <c r="D40" s="794"/>
      <c r="E40" s="795"/>
      <c r="F40" s="796"/>
      <c r="G40" s="72"/>
      <c r="H40" s="74"/>
      <c r="I40" s="75"/>
      <c r="J40" s="75"/>
      <c r="K40" s="75"/>
      <c r="L40" s="75"/>
      <c r="M40" s="75"/>
      <c r="N40" s="75"/>
      <c r="O40" s="75"/>
      <c r="P40" s="75"/>
      <c r="Q40" s="75"/>
      <c r="R40" s="75"/>
      <c r="S40" s="75"/>
    </row>
    <row r="41" spans="1:19" x14ac:dyDescent="0.25">
      <c r="G41" s="108">
        <f>SUM(G29:G40)</f>
        <v>0</v>
      </c>
      <c r="H41" s="109">
        <f t="shared" ref="H41:S41" si="21">SUM(H29:H34)</f>
        <v>0</v>
      </c>
      <c r="I41" s="108">
        <f t="shared" si="21"/>
        <v>0</v>
      </c>
      <c r="J41" s="108">
        <f t="shared" si="21"/>
        <v>0</v>
      </c>
      <c r="K41" s="108">
        <f t="shared" si="21"/>
        <v>0</v>
      </c>
      <c r="L41" s="108">
        <f t="shared" si="21"/>
        <v>0</v>
      </c>
      <c r="M41" s="108">
        <f t="shared" si="21"/>
        <v>0</v>
      </c>
      <c r="N41" s="108">
        <f t="shared" si="21"/>
        <v>0</v>
      </c>
      <c r="O41" s="108">
        <f t="shared" si="21"/>
        <v>0</v>
      </c>
      <c r="P41" s="108">
        <f t="shared" si="21"/>
        <v>0</v>
      </c>
      <c r="Q41" s="108">
        <f t="shared" si="21"/>
        <v>0</v>
      </c>
      <c r="R41" s="108">
        <f t="shared" si="21"/>
        <v>0</v>
      </c>
      <c r="S41" s="108">
        <f t="shared" si="21"/>
        <v>0</v>
      </c>
    </row>
  </sheetData>
  <mergeCells count="21">
    <mergeCell ref="D39:F39"/>
    <mergeCell ref="D40:F40"/>
    <mergeCell ref="D38:F38"/>
    <mergeCell ref="D33:F33"/>
    <mergeCell ref="D35:F35"/>
    <mergeCell ref="D34:F34"/>
    <mergeCell ref="D37:F37"/>
    <mergeCell ref="D36:F36"/>
    <mergeCell ref="D32:F32"/>
    <mergeCell ref="D29:F29"/>
    <mergeCell ref="D28:F28"/>
    <mergeCell ref="D31:F31"/>
    <mergeCell ref="D30:F30"/>
    <mergeCell ref="N3:Q3"/>
    <mergeCell ref="R3:S3"/>
    <mergeCell ref="J3:M3"/>
    <mergeCell ref="H3:I3"/>
    <mergeCell ref="J27:M27"/>
    <mergeCell ref="N27:Q27"/>
    <mergeCell ref="R27:S27"/>
    <mergeCell ref="H27:I27"/>
  </mergeCells>
  <pageMargins left="0.7" right="0.7" top="0.75" bottom="0.75" header="0" footer="0"/>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T43"/>
  <sheetViews>
    <sheetView showGridLines="0" zoomScale="90" zoomScaleNormal="90" workbookViewId="0"/>
  </sheetViews>
  <sheetFormatPr defaultColWidth="14.42578125" defaultRowHeight="15" customHeight="1" outlineLevelRow="1" x14ac:dyDescent="0.25"/>
  <cols>
    <col min="1" max="1" width="34.140625" customWidth="1"/>
    <col min="2" max="2" width="29.140625" customWidth="1"/>
    <col min="3" max="3" width="25.7109375" customWidth="1"/>
    <col min="4" max="4" width="20.7109375" customWidth="1"/>
    <col min="5" max="6" width="17.140625" customWidth="1"/>
    <col min="7" max="7" width="17.28515625" customWidth="1"/>
    <col min="8" max="19" width="9.85546875" customWidth="1"/>
    <col min="20" max="20" width="7.85546875" customWidth="1"/>
    <col min="21" max="27" width="15.85546875" customWidth="1"/>
  </cols>
  <sheetData>
    <row r="1" spans="1:20" ht="23.25" x14ac:dyDescent="0.35">
      <c r="A1" s="1" t="s">
        <v>2</v>
      </c>
      <c r="C1" s="146" t="s">
        <v>129</v>
      </c>
    </row>
    <row r="2" spans="1:20" x14ac:dyDescent="0.25">
      <c r="C2" s="147"/>
      <c r="I2" s="5"/>
      <c r="J2" s="6"/>
      <c r="K2" s="5"/>
      <c r="L2" s="5"/>
      <c r="M2" s="5"/>
      <c r="N2" s="6"/>
      <c r="O2" s="5"/>
      <c r="P2" s="5"/>
      <c r="Q2" s="5"/>
      <c r="R2" s="6"/>
      <c r="S2" s="5"/>
      <c r="T2" s="5"/>
    </row>
    <row r="3" spans="1:20" ht="18.75" x14ac:dyDescent="0.3">
      <c r="A3" s="7" t="s">
        <v>4</v>
      </c>
      <c r="H3" s="790">
        <v>2019</v>
      </c>
      <c r="I3" s="789"/>
      <c r="J3" s="787">
        <v>2020</v>
      </c>
      <c r="K3" s="788"/>
      <c r="L3" s="788"/>
      <c r="M3" s="789"/>
      <c r="N3" s="787">
        <v>2021</v>
      </c>
      <c r="O3" s="788"/>
      <c r="P3" s="788"/>
      <c r="Q3" s="789"/>
      <c r="R3" s="790">
        <v>2022</v>
      </c>
      <c r="S3" s="789"/>
      <c r="T3" s="5"/>
    </row>
    <row r="4" spans="1:20" hidden="1" outlineLevel="1" x14ac:dyDescent="0.25">
      <c r="A4" s="8"/>
      <c r="B4" s="8"/>
      <c r="C4" s="8"/>
      <c r="D4" s="11"/>
      <c r="E4" s="8"/>
      <c r="F4" s="8"/>
      <c r="G4" s="11"/>
      <c r="H4" s="13">
        <v>43647</v>
      </c>
      <c r="I4" s="13">
        <v>43739</v>
      </c>
      <c r="J4" s="13">
        <v>43831</v>
      </c>
      <c r="K4" s="13">
        <v>43922</v>
      </c>
      <c r="L4" s="13">
        <v>44013</v>
      </c>
      <c r="M4" s="13">
        <v>44105</v>
      </c>
      <c r="N4" s="13">
        <v>44197</v>
      </c>
      <c r="O4" s="13">
        <v>44287</v>
      </c>
      <c r="P4" s="13">
        <v>44378</v>
      </c>
      <c r="Q4" s="13">
        <v>44470</v>
      </c>
      <c r="R4" s="13">
        <v>44562</v>
      </c>
      <c r="S4" s="13">
        <v>44652</v>
      </c>
      <c r="T4" s="5"/>
    </row>
    <row r="5" spans="1:20" ht="30" collapsed="1" x14ac:dyDescent="0.25">
      <c r="A5" s="15" t="s">
        <v>8</v>
      </c>
      <c r="B5" s="15" t="s">
        <v>11</v>
      </c>
      <c r="C5" s="15" t="s">
        <v>12</v>
      </c>
      <c r="D5" s="16" t="s">
        <v>13</v>
      </c>
      <c r="E5" s="17" t="s">
        <v>14</v>
      </c>
      <c r="F5" s="17" t="s">
        <v>15</v>
      </c>
      <c r="G5" s="16" t="s">
        <v>16</v>
      </c>
      <c r="H5" s="19" t="s">
        <v>10</v>
      </c>
      <c r="I5" s="21" t="s">
        <v>17</v>
      </c>
      <c r="J5" s="23" t="s">
        <v>18</v>
      </c>
      <c r="K5" s="25" t="s">
        <v>19</v>
      </c>
      <c r="L5" s="25" t="s">
        <v>10</v>
      </c>
      <c r="M5" s="21" t="s">
        <v>17</v>
      </c>
      <c r="N5" s="23" t="s">
        <v>18</v>
      </c>
      <c r="O5" s="25" t="s">
        <v>19</v>
      </c>
      <c r="P5" s="25" t="s">
        <v>10</v>
      </c>
      <c r="Q5" s="21" t="s">
        <v>17</v>
      </c>
      <c r="R5" s="23" t="s">
        <v>18</v>
      </c>
      <c r="S5" s="25" t="s">
        <v>19</v>
      </c>
      <c r="T5" s="5"/>
    </row>
    <row r="6" spans="1:20" x14ac:dyDescent="0.25">
      <c r="A6" s="27"/>
      <c r="B6" s="27"/>
      <c r="C6" s="30"/>
      <c r="D6" s="27"/>
      <c r="E6" s="37"/>
      <c r="F6" s="27"/>
      <c r="G6" s="39"/>
      <c r="H6" s="31">
        <f t="shared" ref="H6:R6" si="0">IF($E6&lt;I$4,($G6*1.3)/4,0)</f>
        <v>0</v>
      </c>
      <c r="I6" s="33">
        <f t="shared" si="0"/>
        <v>0</v>
      </c>
      <c r="J6" s="33">
        <f t="shared" si="0"/>
        <v>0</v>
      </c>
      <c r="K6" s="33">
        <f t="shared" si="0"/>
        <v>0</v>
      </c>
      <c r="L6" s="33">
        <f t="shared" si="0"/>
        <v>0</v>
      </c>
      <c r="M6" s="33">
        <f t="shared" si="0"/>
        <v>0</v>
      </c>
      <c r="N6" s="33">
        <f t="shared" si="0"/>
        <v>0</v>
      </c>
      <c r="O6" s="33">
        <f t="shared" si="0"/>
        <v>0</v>
      </c>
      <c r="P6" s="33">
        <f t="shared" si="0"/>
        <v>0</v>
      </c>
      <c r="Q6" s="33">
        <f t="shared" si="0"/>
        <v>0</v>
      </c>
      <c r="R6" s="33">
        <f t="shared" si="0"/>
        <v>0</v>
      </c>
      <c r="S6" s="33">
        <f t="shared" ref="S6:S24" si="1">IF($E6&lt;S$4,($G6*1.3)/4,0)</f>
        <v>0</v>
      </c>
      <c r="T6" s="5"/>
    </row>
    <row r="7" spans="1:20" x14ac:dyDescent="0.25">
      <c r="A7" s="40"/>
      <c r="B7" s="40"/>
      <c r="C7" s="35"/>
      <c r="D7" s="40"/>
      <c r="E7" s="42"/>
      <c r="F7" s="43"/>
      <c r="G7" s="44"/>
      <c r="H7" s="31">
        <f t="shared" ref="H7:R7" si="2">IF($E7&lt;I$4,($G7*1.3)/4,0)</f>
        <v>0</v>
      </c>
      <c r="I7" s="33">
        <f t="shared" si="2"/>
        <v>0</v>
      </c>
      <c r="J7" s="33">
        <f t="shared" si="2"/>
        <v>0</v>
      </c>
      <c r="K7" s="33">
        <f t="shared" si="2"/>
        <v>0</v>
      </c>
      <c r="L7" s="33">
        <f t="shared" si="2"/>
        <v>0</v>
      </c>
      <c r="M7" s="33">
        <f t="shared" si="2"/>
        <v>0</v>
      </c>
      <c r="N7" s="33">
        <f t="shared" si="2"/>
        <v>0</v>
      </c>
      <c r="O7" s="33">
        <f t="shared" si="2"/>
        <v>0</v>
      </c>
      <c r="P7" s="33">
        <f t="shared" si="2"/>
        <v>0</v>
      </c>
      <c r="Q7" s="33">
        <f t="shared" si="2"/>
        <v>0</v>
      </c>
      <c r="R7" s="33">
        <f t="shared" si="2"/>
        <v>0</v>
      </c>
      <c r="S7" s="33">
        <f t="shared" si="1"/>
        <v>0</v>
      </c>
      <c r="T7" s="5"/>
    </row>
    <row r="8" spans="1:20" x14ac:dyDescent="0.25">
      <c r="A8" s="40"/>
      <c r="B8" s="40"/>
      <c r="C8" s="35"/>
      <c r="D8" s="40"/>
      <c r="E8" s="42"/>
      <c r="F8" s="43"/>
      <c r="G8" s="44"/>
      <c r="H8" s="31">
        <f t="shared" ref="H8:R8" si="3">IF($E8&lt;I$4,($G8*1.3)/4,0)</f>
        <v>0</v>
      </c>
      <c r="I8" s="33">
        <f t="shared" si="3"/>
        <v>0</v>
      </c>
      <c r="J8" s="33">
        <f t="shared" si="3"/>
        <v>0</v>
      </c>
      <c r="K8" s="33">
        <f t="shared" si="3"/>
        <v>0</v>
      </c>
      <c r="L8" s="33">
        <f t="shared" si="3"/>
        <v>0</v>
      </c>
      <c r="M8" s="33">
        <f t="shared" si="3"/>
        <v>0</v>
      </c>
      <c r="N8" s="33">
        <f t="shared" si="3"/>
        <v>0</v>
      </c>
      <c r="O8" s="33">
        <f t="shared" si="3"/>
        <v>0</v>
      </c>
      <c r="P8" s="33">
        <f t="shared" si="3"/>
        <v>0</v>
      </c>
      <c r="Q8" s="33">
        <f t="shared" si="3"/>
        <v>0</v>
      </c>
      <c r="R8" s="33">
        <f t="shared" si="3"/>
        <v>0</v>
      </c>
      <c r="S8" s="33">
        <f t="shared" si="1"/>
        <v>0</v>
      </c>
      <c r="T8" s="5"/>
    </row>
    <row r="9" spans="1:20" x14ac:dyDescent="0.25">
      <c r="A9" s="40"/>
      <c r="B9" s="40"/>
      <c r="C9" s="35"/>
      <c r="D9" s="40"/>
      <c r="E9" s="42"/>
      <c r="F9" s="43"/>
      <c r="G9" s="44"/>
      <c r="H9" s="31">
        <f t="shared" ref="H9:R9" si="4">IF($E9&lt;I$4,($G9*1.3)/4,0)</f>
        <v>0</v>
      </c>
      <c r="I9" s="33">
        <f t="shared" si="4"/>
        <v>0</v>
      </c>
      <c r="J9" s="33">
        <f t="shared" si="4"/>
        <v>0</v>
      </c>
      <c r="K9" s="33">
        <f t="shared" si="4"/>
        <v>0</v>
      </c>
      <c r="L9" s="33">
        <f t="shared" si="4"/>
        <v>0</v>
      </c>
      <c r="M9" s="33">
        <f t="shared" si="4"/>
        <v>0</v>
      </c>
      <c r="N9" s="33">
        <f t="shared" si="4"/>
        <v>0</v>
      </c>
      <c r="O9" s="33">
        <f t="shared" si="4"/>
        <v>0</v>
      </c>
      <c r="P9" s="33">
        <f t="shared" si="4"/>
        <v>0</v>
      </c>
      <c r="Q9" s="33">
        <f t="shared" si="4"/>
        <v>0</v>
      </c>
      <c r="R9" s="33">
        <f t="shared" si="4"/>
        <v>0</v>
      </c>
      <c r="S9" s="33">
        <f t="shared" si="1"/>
        <v>0</v>
      </c>
      <c r="T9" s="5"/>
    </row>
    <row r="10" spans="1:20" x14ac:dyDescent="0.25">
      <c r="A10" s="40"/>
      <c r="B10" s="40"/>
      <c r="C10" s="35"/>
      <c r="D10" s="40"/>
      <c r="E10" s="42"/>
      <c r="F10" s="43"/>
      <c r="G10" s="44"/>
      <c r="H10" s="31">
        <f t="shared" ref="H10:R10" si="5">IF($E10&lt;I$4,($G10*1.3)/4,0)</f>
        <v>0</v>
      </c>
      <c r="I10" s="33">
        <f t="shared" si="5"/>
        <v>0</v>
      </c>
      <c r="J10" s="33">
        <f t="shared" si="5"/>
        <v>0</v>
      </c>
      <c r="K10" s="33">
        <f t="shared" si="5"/>
        <v>0</v>
      </c>
      <c r="L10" s="33">
        <f t="shared" si="5"/>
        <v>0</v>
      </c>
      <c r="M10" s="33">
        <f t="shared" si="5"/>
        <v>0</v>
      </c>
      <c r="N10" s="33">
        <f t="shared" si="5"/>
        <v>0</v>
      </c>
      <c r="O10" s="33">
        <f t="shared" si="5"/>
        <v>0</v>
      </c>
      <c r="P10" s="33">
        <f t="shared" si="5"/>
        <v>0</v>
      </c>
      <c r="Q10" s="33">
        <f t="shared" si="5"/>
        <v>0</v>
      </c>
      <c r="R10" s="33">
        <f t="shared" si="5"/>
        <v>0</v>
      </c>
      <c r="S10" s="33">
        <f t="shared" si="1"/>
        <v>0</v>
      </c>
      <c r="T10" s="5"/>
    </row>
    <row r="11" spans="1:20" x14ac:dyDescent="0.25">
      <c r="A11" s="40"/>
      <c r="B11" s="40"/>
      <c r="C11" s="35"/>
      <c r="D11" s="40"/>
      <c r="E11" s="42"/>
      <c r="F11" s="43"/>
      <c r="G11" s="44"/>
      <c r="H11" s="31">
        <f t="shared" ref="H11:R11" si="6">IF($E11&lt;I$4,($G11*1.3)/4,0)</f>
        <v>0</v>
      </c>
      <c r="I11" s="33">
        <f t="shared" si="6"/>
        <v>0</v>
      </c>
      <c r="J11" s="33">
        <f t="shared" si="6"/>
        <v>0</v>
      </c>
      <c r="K11" s="33">
        <f t="shared" si="6"/>
        <v>0</v>
      </c>
      <c r="L11" s="33">
        <f t="shared" si="6"/>
        <v>0</v>
      </c>
      <c r="M11" s="33">
        <f t="shared" si="6"/>
        <v>0</v>
      </c>
      <c r="N11" s="33">
        <f t="shared" si="6"/>
        <v>0</v>
      </c>
      <c r="O11" s="33">
        <f t="shared" si="6"/>
        <v>0</v>
      </c>
      <c r="P11" s="33">
        <f t="shared" si="6"/>
        <v>0</v>
      </c>
      <c r="Q11" s="33">
        <f t="shared" si="6"/>
        <v>0</v>
      </c>
      <c r="R11" s="33">
        <f t="shared" si="6"/>
        <v>0</v>
      </c>
      <c r="S11" s="33">
        <f t="shared" si="1"/>
        <v>0</v>
      </c>
      <c r="T11" s="5"/>
    </row>
    <row r="12" spans="1:20" x14ac:dyDescent="0.25">
      <c r="A12" s="40"/>
      <c r="B12" s="40"/>
      <c r="C12" s="35"/>
      <c r="D12" s="40"/>
      <c r="E12" s="42"/>
      <c r="F12" s="43"/>
      <c r="G12" s="44"/>
      <c r="H12" s="31">
        <f t="shared" ref="H12:R12" si="7">IF($E12&lt;I$4,($G12*1.3)/4,0)</f>
        <v>0</v>
      </c>
      <c r="I12" s="33">
        <f t="shared" si="7"/>
        <v>0</v>
      </c>
      <c r="J12" s="33">
        <f t="shared" si="7"/>
        <v>0</v>
      </c>
      <c r="K12" s="33">
        <f t="shared" si="7"/>
        <v>0</v>
      </c>
      <c r="L12" s="33">
        <f t="shared" si="7"/>
        <v>0</v>
      </c>
      <c r="M12" s="33">
        <f t="shared" si="7"/>
        <v>0</v>
      </c>
      <c r="N12" s="33">
        <f t="shared" si="7"/>
        <v>0</v>
      </c>
      <c r="O12" s="33">
        <f t="shared" si="7"/>
        <v>0</v>
      </c>
      <c r="P12" s="33">
        <f t="shared" si="7"/>
        <v>0</v>
      </c>
      <c r="Q12" s="33">
        <f t="shared" si="7"/>
        <v>0</v>
      </c>
      <c r="R12" s="33">
        <f t="shared" si="7"/>
        <v>0</v>
      </c>
      <c r="S12" s="33">
        <f t="shared" si="1"/>
        <v>0</v>
      </c>
      <c r="T12" s="5"/>
    </row>
    <row r="13" spans="1:20" x14ac:dyDescent="0.25">
      <c r="A13" s="40"/>
      <c r="B13" s="40"/>
      <c r="C13" s="35"/>
      <c r="D13" s="40"/>
      <c r="E13" s="42"/>
      <c r="F13" s="43"/>
      <c r="G13" s="44"/>
      <c r="H13" s="31">
        <f t="shared" ref="H13:R13" si="8">IF($E13&lt;I$4,($G13*1.3)/4,0)</f>
        <v>0</v>
      </c>
      <c r="I13" s="33">
        <f t="shared" si="8"/>
        <v>0</v>
      </c>
      <c r="J13" s="33">
        <f t="shared" si="8"/>
        <v>0</v>
      </c>
      <c r="K13" s="33">
        <f t="shared" si="8"/>
        <v>0</v>
      </c>
      <c r="L13" s="33">
        <f t="shared" si="8"/>
        <v>0</v>
      </c>
      <c r="M13" s="33">
        <f t="shared" si="8"/>
        <v>0</v>
      </c>
      <c r="N13" s="33">
        <f t="shared" si="8"/>
        <v>0</v>
      </c>
      <c r="O13" s="33">
        <f t="shared" si="8"/>
        <v>0</v>
      </c>
      <c r="P13" s="33">
        <f t="shared" si="8"/>
        <v>0</v>
      </c>
      <c r="Q13" s="33">
        <f t="shared" si="8"/>
        <v>0</v>
      </c>
      <c r="R13" s="33">
        <f t="shared" si="8"/>
        <v>0</v>
      </c>
      <c r="S13" s="33">
        <f t="shared" si="1"/>
        <v>0</v>
      </c>
      <c r="T13" s="5"/>
    </row>
    <row r="14" spans="1:20" x14ac:dyDescent="0.25">
      <c r="A14" s="40"/>
      <c r="B14" s="40"/>
      <c r="C14" s="35"/>
      <c r="D14" s="40"/>
      <c r="E14" s="42"/>
      <c r="F14" s="43"/>
      <c r="G14" s="44"/>
      <c r="H14" s="31">
        <f t="shared" ref="H14:R14" si="9">IF($E14&lt;I$4,($G14*1.3)/4,0)</f>
        <v>0</v>
      </c>
      <c r="I14" s="33">
        <f t="shared" si="9"/>
        <v>0</v>
      </c>
      <c r="J14" s="33">
        <f t="shared" si="9"/>
        <v>0</v>
      </c>
      <c r="K14" s="33">
        <f t="shared" si="9"/>
        <v>0</v>
      </c>
      <c r="L14" s="33">
        <f t="shared" si="9"/>
        <v>0</v>
      </c>
      <c r="M14" s="33">
        <f t="shared" si="9"/>
        <v>0</v>
      </c>
      <c r="N14" s="33">
        <f t="shared" si="9"/>
        <v>0</v>
      </c>
      <c r="O14" s="33">
        <f t="shared" si="9"/>
        <v>0</v>
      </c>
      <c r="P14" s="33">
        <f t="shared" si="9"/>
        <v>0</v>
      </c>
      <c r="Q14" s="33">
        <f t="shared" si="9"/>
        <v>0</v>
      </c>
      <c r="R14" s="33">
        <f t="shared" si="9"/>
        <v>0</v>
      </c>
      <c r="S14" s="33">
        <f t="shared" si="1"/>
        <v>0</v>
      </c>
      <c r="T14" s="5"/>
    </row>
    <row r="15" spans="1:20" x14ac:dyDescent="0.25">
      <c r="A15" s="40"/>
      <c r="B15" s="40"/>
      <c r="C15" s="35"/>
      <c r="D15" s="40"/>
      <c r="E15" s="42"/>
      <c r="F15" s="43"/>
      <c r="G15" s="44"/>
      <c r="H15" s="31">
        <f t="shared" ref="H15:R15" si="10">IF($E15&lt;I$4,($G15*1.3)/4,0)</f>
        <v>0</v>
      </c>
      <c r="I15" s="33">
        <f t="shared" si="10"/>
        <v>0</v>
      </c>
      <c r="J15" s="33">
        <f t="shared" si="10"/>
        <v>0</v>
      </c>
      <c r="K15" s="33">
        <f t="shared" si="10"/>
        <v>0</v>
      </c>
      <c r="L15" s="33">
        <f t="shared" si="10"/>
        <v>0</v>
      </c>
      <c r="M15" s="33">
        <f t="shared" si="10"/>
        <v>0</v>
      </c>
      <c r="N15" s="33">
        <f t="shared" si="10"/>
        <v>0</v>
      </c>
      <c r="O15" s="33">
        <f t="shared" si="10"/>
        <v>0</v>
      </c>
      <c r="P15" s="33">
        <f t="shared" si="10"/>
        <v>0</v>
      </c>
      <c r="Q15" s="33">
        <f t="shared" si="10"/>
        <v>0</v>
      </c>
      <c r="R15" s="33">
        <f t="shared" si="10"/>
        <v>0</v>
      </c>
      <c r="S15" s="33">
        <f t="shared" si="1"/>
        <v>0</v>
      </c>
      <c r="T15" s="5"/>
    </row>
    <row r="16" spans="1:20" x14ac:dyDescent="0.25">
      <c r="A16" s="40"/>
      <c r="B16" s="40"/>
      <c r="C16" s="35"/>
      <c r="D16" s="40"/>
      <c r="E16" s="42"/>
      <c r="F16" s="43"/>
      <c r="G16" s="44"/>
      <c r="H16" s="31">
        <f t="shared" ref="H16:R16" si="11">IF($E16&lt;I$4,($G16*1.3)/4,0)</f>
        <v>0</v>
      </c>
      <c r="I16" s="33">
        <f t="shared" si="11"/>
        <v>0</v>
      </c>
      <c r="J16" s="33">
        <f t="shared" si="11"/>
        <v>0</v>
      </c>
      <c r="K16" s="33">
        <f t="shared" si="11"/>
        <v>0</v>
      </c>
      <c r="L16" s="33">
        <f t="shared" si="11"/>
        <v>0</v>
      </c>
      <c r="M16" s="33">
        <f t="shared" si="11"/>
        <v>0</v>
      </c>
      <c r="N16" s="33">
        <f t="shared" si="11"/>
        <v>0</v>
      </c>
      <c r="O16" s="33">
        <f t="shared" si="11"/>
        <v>0</v>
      </c>
      <c r="P16" s="33">
        <f t="shared" si="11"/>
        <v>0</v>
      </c>
      <c r="Q16" s="33">
        <f t="shared" si="11"/>
        <v>0</v>
      </c>
      <c r="R16" s="33">
        <f t="shared" si="11"/>
        <v>0</v>
      </c>
      <c r="S16" s="33">
        <f t="shared" si="1"/>
        <v>0</v>
      </c>
      <c r="T16" s="5"/>
    </row>
    <row r="17" spans="1:20" x14ac:dyDescent="0.25">
      <c r="A17" s="40"/>
      <c r="B17" s="40"/>
      <c r="C17" s="35"/>
      <c r="D17" s="40"/>
      <c r="E17" s="40"/>
      <c r="F17" s="43"/>
      <c r="G17" s="44"/>
      <c r="H17" s="31">
        <f t="shared" ref="H17:R17" si="12">IF($E17&lt;I$4,($G17*1.3)/4,0)</f>
        <v>0</v>
      </c>
      <c r="I17" s="33">
        <f t="shared" si="12"/>
        <v>0</v>
      </c>
      <c r="J17" s="33">
        <f t="shared" si="12"/>
        <v>0</v>
      </c>
      <c r="K17" s="33">
        <f t="shared" si="12"/>
        <v>0</v>
      </c>
      <c r="L17" s="33">
        <f t="shared" si="12"/>
        <v>0</v>
      </c>
      <c r="M17" s="33">
        <f t="shared" si="12"/>
        <v>0</v>
      </c>
      <c r="N17" s="33">
        <f t="shared" si="12"/>
        <v>0</v>
      </c>
      <c r="O17" s="33">
        <f t="shared" si="12"/>
        <v>0</v>
      </c>
      <c r="P17" s="33">
        <f t="shared" si="12"/>
        <v>0</v>
      </c>
      <c r="Q17" s="33">
        <f t="shared" si="12"/>
        <v>0</v>
      </c>
      <c r="R17" s="33">
        <f t="shared" si="12"/>
        <v>0</v>
      </c>
      <c r="S17" s="33">
        <f t="shared" si="1"/>
        <v>0</v>
      </c>
      <c r="T17" s="5"/>
    </row>
    <row r="18" spans="1:20" x14ac:dyDescent="0.25">
      <c r="A18" s="40"/>
      <c r="B18" s="40"/>
      <c r="C18" s="35"/>
      <c r="D18" s="40"/>
      <c r="E18" s="40"/>
      <c r="F18" s="43"/>
      <c r="G18" s="44"/>
      <c r="H18" s="31">
        <f t="shared" ref="H18:R18" si="13">IF($E18&lt;I$4,($G18*1.3)/4,0)</f>
        <v>0</v>
      </c>
      <c r="I18" s="33">
        <f t="shared" si="13"/>
        <v>0</v>
      </c>
      <c r="J18" s="33">
        <f t="shared" si="13"/>
        <v>0</v>
      </c>
      <c r="K18" s="33">
        <f t="shared" si="13"/>
        <v>0</v>
      </c>
      <c r="L18" s="33">
        <f t="shared" si="13"/>
        <v>0</v>
      </c>
      <c r="M18" s="33">
        <f t="shared" si="13"/>
        <v>0</v>
      </c>
      <c r="N18" s="33">
        <f t="shared" si="13"/>
        <v>0</v>
      </c>
      <c r="O18" s="33">
        <f t="shared" si="13"/>
        <v>0</v>
      </c>
      <c r="P18" s="33">
        <f t="shared" si="13"/>
        <v>0</v>
      </c>
      <c r="Q18" s="33">
        <f t="shared" si="13"/>
        <v>0</v>
      </c>
      <c r="R18" s="33">
        <f t="shared" si="13"/>
        <v>0</v>
      </c>
      <c r="S18" s="33">
        <f t="shared" si="1"/>
        <v>0</v>
      </c>
      <c r="T18" s="5"/>
    </row>
    <row r="19" spans="1:20" x14ac:dyDescent="0.25">
      <c r="A19" s="40"/>
      <c r="B19" s="40"/>
      <c r="C19" s="35"/>
      <c r="D19" s="40"/>
      <c r="E19" s="40"/>
      <c r="F19" s="43"/>
      <c r="G19" s="44"/>
      <c r="H19" s="31">
        <f t="shared" ref="H19:R19" si="14">IF($E19&lt;I$4,($G19*1.3)/4,0)</f>
        <v>0</v>
      </c>
      <c r="I19" s="33">
        <f t="shared" si="14"/>
        <v>0</v>
      </c>
      <c r="J19" s="33">
        <f t="shared" si="14"/>
        <v>0</v>
      </c>
      <c r="K19" s="33">
        <f t="shared" si="14"/>
        <v>0</v>
      </c>
      <c r="L19" s="33">
        <f t="shared" si="14"/>
        <v>0</v>
      </c>
      <c r="M19" s="33">
        <f t="shared" si="14"/>
        <v>0</v>
      </c>
      <c r="N19" s="33">
        <f t="shared" si="14"/>
        <v>0</v>
      </c>
      <c r="O19" s="33">
        <f t="shared" si="14"/>
        <v>0</v>
      </c>
      <c r="P19" s="33">
        <f t="shared" si="14"/>
        <v>0</v>
      </c>
      <c r="Q19" s="33">
        <f t="shared" si="14"/>
        <v>0</v>
      </c>
      <c r="R19" s="33">
        <f t="shared" si="14"/>
        <v>0</v>
      </c>
      <c r="S19" s="33">
        <f t="shared" si="1"/>
        <v>0</v>
      </c>
      <c r="T19" s="5"/>
    </row>
    <row r="20" spans="1:20" x14ac:dyDescent="0.25">
      <c r="A20" s="40"/>
      <c r="B20" s="40"/>
      <c r="C20" s="35"/>
      <c r="D20" s="40"/>
      <c r="E20" s="43"/>
      <c r="F20" s="43"/>
      <c r="G20" s="44"/>
      <c r="H20" s="31">
        <f t="shared" ref="H20:R20" si="15">IF($E20&lt;I$4,($G20*1.3)/4,0)</f>
        <v>0</v>
      </c>
      <c r="I20" s="33">
        <f t="shared" si="15"/>
        <v>0</v>
      </c>
      <c r="J20" s="33">
        <f t="shared" si="15"/>
        <v>0</v>
      </c>
      <c r="K20" s="33">
        <f t="shared" si="15"/>
        <v>0</v>
      </c>
      <c r="L20" s="33">
        <f t="shared" si="15"/>
        <v>0</v>
      </c>
      <c r="M20" s="33">
        <f t="shared" si="15"/>
        <v>0</v>
      </c>
      <c r="N20" s="33">
        <f t="shared" si="15"/>
        <v>0</v>
      </c>
      <c r="O20" s="33">
        <f t="shared" si="15"/>
        <v>0</v>
      </c>
      <c r="P20" s="33">
        <f t="shared" si="15"/>
        <v>0</v>
      </c>
      <c r="Q20" s="33">
        <f t="shared" si="15"/>
        <v>0</v>
      </c>
      <c r="R20" s="33">
        <f t="shared" si="15"/>
        <v>0</v>
      </c>
      <c r="S20" s="33">
        <f t="shared" si="1"/>
        <v>0</v>
      </c>
      <c r="T20" s="5"/>
    </row>
    <row r="21" spans="1:20" x14ac:dyDescent="0.25">
      <c r="A21" s="40"/>
      <c r="B21" s="40"/>
      <c r="C21" s="35"/>
      <c r="D21" s="40"/>
      <c r="E21" s="43"/>
      <c r="F21" s="43"/>
      <c r="G21" s="44"/>
      <c r="H21" s="31">
        <f t="shared" ref="H21:R21" si="16">IF($E21&lt;I$4,($G21*1.3)/4,0)</f>
        <v>0</v>
      </c>
      <c r="I21" s="33">
        <f t="shared" si="16"/>
        <v>0</v>
      </c>
      <c r="J21" s="33">
        <f t="shared" si="16"/>
        <v>0</v>
      </c>
      <c r="K21" s="33">
        <f t="shared" si="16"/>
        <v>0</v>
      </c>
      <c r="L21" s="33">
        <f t="shared" si="16"/>
        <v>0</v>
      </c>
      <c r="M21" s="33">
        <f t="shared" si="16"/>
        <v>0</v>
      </c>
      <c r="N21" s="33">
        <f t="shared" si="16"/>
        <v>0</v>
      </c>
      <c r="O21" s="33">
        <f t="shared" si="16"/>
        <v>0</v>
      </c>
      <c r="P21" s="33">
        <f t="shared" si="16"/>
        <v>0</v>
      </c>
      <c r="Q21" s="33">
        <f t="shared" si="16"/>
        <v>0</v>
      </c>
      <c r="R21" s="33">
        <f t="shared" si="16"/>
        <v>0</v>
      </c>
      <c r="S21" s="33">
        <f t="shared" si="1"/>
        <v>0</v>
      </c>
      <c r="T21" s="5"/>
    </row>
    <row r="22" spans="1:20" x14ac:dyDescent="0.25">
      <c r="A22" s="66"/>
      <c r="B22" s="66"/>
      <c r="C22" s="76"/>
      <c r="D22" s="77"/>
      <c r="E22" s="66"/>
      <c r="F22" s="66"/>
      <c r="G22" s="79"/>
      <c r="H22" s="31">
        <f t="shared" ref="H22:R22" si="17">IF($E22&lt;I$4,($G22*1.3)/4,0)</f>
        <v>0</v>
      </c>
      <c r="I22" s="33">
        <f t="shared" si="17"/>
        <v>0</v>
      </c>
      <c r="J22" s="33">
        <f t="shared" si="17"/>
        <v>0</v>
      </c>
      <c r="K22" s="33">
        <f t="shared" si="17"/>
        <v>0</v>
      </c>
      <c r="L22" s="33">
        <f t="shared" si="17"/>
        <v>0</v>
      </c>
      <c r="M22" s="33">
        <f t="shared" si="17"/>
        <v>0</v>
      </c>
      <c r="N22" s="33">
        <f t="shared" si="17"/>
        <v>0</v>
      </c>
      <c r="O22" s="33">
        <f t="shared" si="17"/>
        <v>0</v>
      </c>
      <c r="P22" s="33">
        <f t="shared" si="17"/>
        <v>0</v>
      </c>
      <c r="Q22" s="33">
        <f t="shared" si="17"/>
        <v>0</v>
      </c>
      <c r="R22" s="33">
        <f t="shared" si="17"/>
        <v>0</v>
      </c>
      <c r="S22" s="33">
        <f t="shared" si="1"/>
        <v>0</v>
      </c>
      <c r="T22" s="5"/>
    </row>
    <row r="23" spans="1:20" x14ac:dyDescent="0.25">
      <c r="A23" s="66"/>
      <c r="B23" s="66"/>
      <c r="C23" s="76"/>
      <c r="D23" s="77"/>
      <c r="E23" s="66"/>
      <c r="F23" s="66"/>
      <c r="G23" s="79"/>
      <c r="H23" s="31">
        <f t="shared" ref="H23:R23" si="18">IF($E23&lt;I$4,($G23*1.3)/4,0)</f>
        <v>0</v>
      </c>
      <c r="I23" s="33">
        <f t="shared" si="18"/>
        <v>0</v>
      </c>
      <c r="J23" s="33">
        <f t="shared" si="18"/>
        <v>0</v>
      </c>
      <c r="K23" s="33">
        <f t="shared" si="18"/>
        <v>0</v>
      </c>
      <c r="L23" s="33">
        <f t="shared" si="18"/>
        <v>0</v>
      </c>
      <c r="M23" s="33">
        <f t="shared" si="18"/>
        <v>0</v>
      </c>
      <c r="N23" s="33">
        <f t="shared" si="18"/>
        <v>0</v>
      </c>
      <c r="O23" s="33">
        <f t="shared" si="18"/>
        <v>0</v>
      </c>
      <c r="P23" s="33">
        <f t="shared" si="18"/>
        <v>0</v>
      </c>
      <c r="Q23" s="33">
        <f t="shared" si="18"/>
        <v>0</v>
      </c>
      <c r="R23" s="33">
        <f t="shared" si="18"/>
        <v>0</v>
      </c>
      <c r="S23" s="33">
        <f t="shared" si="1"/>
        <v>0</v>
      </c>
      <c r="T23" s="5"/>
    </row>
    <row r="24" spans="1:20" x14ac:dyDescent="0.25">
      <c r="A24" s="66"/>
      <c r="B24" s="66"/>
      <c r="C24" s="76"/>
      <c r="D24" s="77"/>
      <c r="E24" s="66"/>
      <c r="F24" s="66"/>
      <c r="G24" s="79"/>
      <c r="H24" s="31">
        <f t="shared" ref="H24:R24" si="19">IF($E24&lt;I$4,($G24*1.3)/4,0)</f>
        <v>0</v>
      </c>
      <c r="I24" s="33">
        <f t="shared" si="19"/>
        <v>0</v>
      </c>
      <c r="J24" s="33">
        <f t="shared" si="19"/>
        <v>0</v>
      </c>
      <c r="K24" s="33">
        <f t="shared" si="19"/>
        <v>0</v>
      </c>
      <c r="L24" s="33">
        <f t="shared" si="19"/>
        <v>0</v>
      </c>
      <c r="M24" s="33">
        <f t="shared" si="19"/>
        <v>0</v>
      </c>
      <c r="N24" s="33">
        <f t="shared" si="19"/>
        <v>0</v>
      </c>
      <c r="O24" s="33">
        <f t="shared" si="19"/>
        <v>0</v>
      </c>
      <c r="P24" s="33">
        <f t="shared" si="19"/>
        <v>0</v>
      </c>
      <c r="Q24" s="33">
        <f t="shared" si="19"/>
        <v>0</v>
      </c>
      <c r="R24" s="33">
        <f t="shared" si="19"/>
        <v>0</v>
      </c>
      <c r="S24" s="33">
        <f t="shared" si="1"/>
        <v>0</v>
      </c>
      <c r="T24" s="5"/>
    </row>
    <row r="25" spans="1:20" x14ac:dyDescent="0.25">
      <c r="A25" s="50"/>
      <c r="B25" s="50"/>
      <c r="C25" s="50"/>
      <c r="D25" s="50"/>
      <c r="E25" s="50"/>
      <c r="F25" s="50"/>
      <c r="G25" s="50"/>
      <c r="H25" s="81">
        <f t="shared" ref="H25:S25" si="20">SUM(H6:H24)</f>
        <v>0</v>
      </c>
      <c r="I25" s="82">
        <f t="shared" si="20"/>
        <v>0</v>
      </c>
      <c r="J25" s="82">
        <f t="shared" si="20"/>
        <v>0</v>
      </c>
      <c r="K25" s="82">
        <f t="shared" si="20"/>
        <v>0</v>
      </c>
      <c r="L25" s="82">
        <f t="shared" si="20"/>
        <v>0</v>
      </c>
      <c r="M25" s="82">
        <f t="shared" si="20"/>
        <v>0</v>
      </c>
      <c r="N25" s="82">
        <f t="shared" si="20"/>
        <v>0</v>
      </c>
      <c r="O25" s="82">
        <f t="shared" si="20"/>
        <v>0</v>
      </c>
      <c r="P25" s="82">
        <f t="shared" si="20"/>
        <v>0</v>
      </c>
      <c r="Q25" s="82">
        <f t="shared" si="20"/>
        <v>0</v>
      </c>
      <c r="R25" s="82">
        <f t="shared" si="20"/>
        <v>0</v>
      </c>
      <c r="S25" s="82">
        <f t="shared" si="20"/>
        <v>0</v>
      </c>
      <c r="T25" s="5"/>
    </row>
    <row r="26" spans="1:20" x14ac:dyDescent="0.25">
      <c r="B26" s="5"/>
      <c r="C26" s="5"/>
      <c r="D26" s="5"/>
      <c r="E26" s="5"/>
      <c r="F26" s="5"/>
      <c r="G26" s="5"/>
      <c r="H26" s="5"/>
      <c r="I26" s="5"/>
      <c r="J26" s="5"/>
      <c r="K26" s="5"/>
      <c r="L26" s="5"/>
      <c r="M26" s="5"/>
      <c r="N26" s="5"/>
      <c r="O26" s="5"/>
      <c r="P26" s="5"/>
      <c r="Q26" s="5"/>
      <c r="R26" s="5"/>
      <c r="S26" s="5"/>
    </row>
    <row r="27" spans="1:20" ht="18.75" x14ac:dyDescent="0.3">
      <c r="A27" s="7" t="s">
        <v>67</v>
      </c>
      <c r="B27" s="5"/>
      <c r="C27" s="5"/>
      <c r="D27" s="5"/>
      <c r="E27" s="5"/>
      <c r="F27" s="5"/>
      <c r="G27" s="5"/>
      <c r="H27" s="790">
        <v>2019</v>
      </c>
      <c r="I27" s="789"/>
      <c r="J27" s="787">
        <v>2020</v>
      </c>
      <c r="K27" s="788"/>
      <c r="L27" s="788"/>
      <c r="M27" s="789"/>
      <c r="N27" s="787">
        <v>2021</v>
      </c>
      <c r="O27" s="788"/>
      <c r="P27" s="788"/>
      <c r="Q27" s="789"/>
      <c r="R27" s="790">
        <v>2022</v>
      </c>
      <c r="S27" s="789"/>
    </row>
    <row r="28" spans="1:20" ht="30" x14ac:dyDescent="0.25">
      <c r="A28" s="54" t="s">
        <v>8</v>
      </c>
      <c r="B28" s="54" t="s">
        <v>11</v>
      </c>
      <c r="C28" s="54" t="s">
        <v>71</v>
      </c>
      <c r="D28" s="791" t="s">
        <v>72</v>
      </c>
      <c r="E28" s="792"/>
      <c r="F28" s="793"/>
      <c r="G28" s="55" t="s">
        <v>73</v>
      </c>
      <c r="H28" s="18" t="s">
        <v>10</v>
      </c>
      <c r="I28" s="20" t="s">
        <v>17</v>
      </c>
      <c r="J28" s="22" t="s">
        <v>18</v>
      </c>
      <c r="K28" s="18" t="s">
        <v>19</v>
      </c>
      <c r="L28" s="18" t="s">
        <v>10</v>
      </c>
      <c r="M28" s="20" t="s">
        <v>17</v>
      </c>
      <c r="N28" s="22" t="s">
        <v>18</v>
      </c>
      <c r="O28" s="18" t="s">
        <v>19</v>
      </c>
      <c r="P28" s="18" t="s">
        <v>10</v>
      </c>
      <c r="Q28" s="20" t="s">
        <v>17</v>
      </c>
      <c r="R28" s="22" t="s">
        <v>18</v>
      </c>
      <c r="S28" s="18" t="s">
        <v>19</v>
      </c>
    </row>
    <row r="29" spans="1:20" x14ac:dyDescent="0.25">
      <c r="A29" s="113" t="s">
        <v>130</v>
      </c>
      <c r="B29" s="40"/>
      <c r="C29" s="40"/>
      <c r="D29" s="794"/>
      <c r="E29" s="795"/>
      <c r="F29" s="796"/>
      <c r="G29" s="58"/>
      <c r="H29" s="56"/>
      <c r="I29" s="57"/>
      <c r="J29" s="57"/>
      <c r="K29" s="57"/>
      <c r="L29" s="57"/>
      <c r="M29" s="57"/>
      <c r="N29" s="57"/>
      <c r="O29" s="57"/>
      <c r="P29" s="57"/>
      <c r="Q29" s="57"/>
      <c r="R29" s="57"/>
      <c r="S29" s="57"/>
    </row>
    <row r="30" spans="1:20" x14ac:dyDescent="0.25">
      <c r="A30" s="113" t="s">
        <v>131</v>
      </c>
      <c r="B30" s="40"/>
      <c r="C30" s="40"/>
      <c r="D30" s="794"/>
      <c r="E30" s="795"/>
      <c r="F30" s="796"/>
      <c r="G30" s="58"/>
      <c r="H30" s="56"/>
      <c r="I30" s="57"/>
      <c r="J30" s="57"/>
      <c r="K30" s="57"/>
      <c r="L30" s="57"/>
      <c r="M30" s="57"/>
      <c r="N30" s="57"/>
      <c r="O30" s="57"/>
      <c r="P30" s="57"/>
      <c r="Q30" s="57"/>
      <c r="R30" s="57"/>
      <c r="S30" s="57"/>
    </row>
    <row r="31" spans="1:20" x14ac:dyDescent="0.25">
      <c r="A31" s="113"/>
      <c r="B31" s="40"/>
      <c r="C31" s="40"/>
      <c r="D31" s="794"/>
      <c r="E31" s="795"/>
      <c r="F31" s="796"/>
      <c r="G31" s="58"/>
      <c r="H31" s="56"/>
      <c r="I31" s="59"/>
      <c r="J31" s="57"/>
      <c r="K31" s="57"/>
      <c r="L31" s="57"/>
      <c r="M31" s="57"/>
      <c r="N31" s="57"/>
      <c r="O31" s="57"/>
      <c r="P31" s="57"/>
      <c r="Q31" s="57"/>
      <c r="R31" s="57"/>
      <c r="S31" s="57"/>
    </row>
    <row r="32" spans="1:20" x14ac:dyDescent="0.25">
      <c r="A32" s="113"/>
      <c r="B32" s="40"/>
      <c r="C32" s="40"/>
      <c r="D32" s="794"/>
      <c r="E32" s="795"/>
      <c r="F32" s="796"/>
      <c r="G32" s="58"/>
      <c r="H32" s="56"/>
      <c r="I32" s="59"/>
      <c r="J32" s="57"/>
      <c r="K32" s="57"/>
      <c r="L32" s="57"/>
      <c r="M32" s="57"/>
      <c r="N32" s="57"/>
      <c r="O32" s="57"/>
      <c r="P32" s="57"/>
      <c r="Q32" s="57"/>
      <c r="R32" s="57"/>
      <c r="S32" s="57"/>
    </row>
    <row r="33" spans="1:19" x14ac:dyDescent="0.25">
      <c r="A33" s="113"/>
      <c r="B33" s="40"/>
      <c r="C33" s="40"/>
      <c r="D33" s="794"/>
      <c r="E33" s="795"/>
      <c r="F33" s="796"/>
      <c r="G33" s="58"/>
      <c r="H33" s="56"/>
      <c r="I33" s="59"/>
      <c r="J33" s="57"/>
      <c r="K33" s="57"/>
      <c r="L33" s="57"/>
      <c r="M33" s="57"/>
      <c r="N33" s="57"/>
      <c r="O33" s="57"/>
      <c r="P33" s="57"/>
      <c r="Q33" s="57"/>
      <c r="R33" s="57"/>
      <c r="S33" s="57"/>
    </row>
    <row r="34" spans="1:19" x14ac:dyDescent="0.25">
      <c r="A34" s="113"/>
      <c r="B34" s="40"/>
      <c r="C34" s="40"/>
      <c r="D34" s="794"/>
      <c r="E34" s="795"/>
      <c r="F34" s="796"/>
      <c r="G34" s="58"/>
      <c r="H34" s="56"/>
      <c r="I34" s="59"/>
      <c r="J34" s="57"/>
      <c r="K34" s="57"/>
      <c r="L34" s="57"/>
      <c r="M34" s="57"/>
      <c r="N34" s="57"/>
      <c r="O34" s="57"/>
      <c r="P34" s="57"/>
      <c r="Q34" s="57"/>
      <c r="R34" s="57"/>
      <c r="S34" s="57"/>
    </row>
    <row r="35" spans="1:19" x14ac:dyDescent="0.25">
      <c r="A35" s="113"/>
      <c r="B35" s="40"/>
      <c r="C35" s="60"/>
      <c r="D35" s="794"/>
      <c r="E35" s="795"/>
      <c r="F35" s="796"/>
      <c r="G35" s="58"/>
      <c r="H35" s="63"/>
      <c r="I35" s="57"/>
      <c r="J35" s="57"/>
      <c r="K35" s="57"/>
      <c r="L35" s="57"/>
      <c r="M35" s="57"/>
      <c r="N35" s="57"/>
      <c r="O35" s="57"/>
      <c r="P35" s="57"/>
      <c r="Q35" s="57"/>
      <c r="R35" s="57"/>
      <c r="S35" s="57"/>
    </row>
    <row r="36" spans="1:19" x14ac:dyDescent="0.25">
      <c r="A36" s="113"/>
      <c r="B36" s="40"/>
      <c r="C36" s="60"/>
      <c r="D36" s="794"/>
      <c r="E36" s="795"/>
      <c r="F36" s="796"/>
      <c r="G36" s="58"/>
      <c r="H36" s="63"/>
      <c r="I36" s="57"/>
      <c r="J36" s="57"/>
      <c r="K36" s="57"/>
      <c r="L36" s="57"/>
      <c r="M36" s="57"/>
      <c r="N36" s="57"/>
      <c r="O36" s="57"/>
      <c r="P36" s="57"/>
      <c r="Q36" s="57"/>
      <c r="R36" s="57"/>
      <c r="S36" s="57"/>
    </row>
    <row r="37" spans="1:19" x14ac:dyDescent="0.25">
      <c r="A37" s="113"/>
      <c r="B37" s="40"/>
      <c r="C37" s="60"/>
      <c r="D37" s="794"/>
      <c r="E37" s="795"/>
      <c r="F37" s="796"/>
      <c r="G37" s="58"/>
      <c r="H37" s="63"/>
      <c r="I37" s="57"/>
      <c r="J37" s="57"/>
      <c r="K37" s="57"/>
      <c r="L37" s="57"/>
      <c r="M37" s="57"/>
      <c r="N37" s="57"/>
      <c r="O37" s="57"/>
      <c r="P37" s="57"/>
      <c r="Q37" s="57"/>
      <c r="R37" s="57"/>
      <c r="S37" s="57"/>
    </row>
    <row r="38" spans="1:19" x14ac:dyDescent="0.25">
      <c r="A38" s="113"/>
      <c r="B38" s="40"/>
      <c r="C38" s="40"/>
      <c r="D38" s="794"/>
      <c r="E38" s="795"/>
      <c r="F38" s="796"/>
      <c r="G38" s="58"/>
      <c r="H38" s="63"/>
      <c r="I38" s="57"/>
      <c r="J38" s="57"/>
      <c r="K38" s="57"/>
      <c r="L38" s="57"/>
      <c r="M38" s="57"/>
      <c r="N38" s="57"/>
      <c r="O38" s="57"/>
      <c r="P38" s="57"/>
      <c r="Q38" s="57"/>
      <c r="R38" s="57"/>
      <c r="S38" s="57"/>
    </row>
    <row r="39" spans="1:19" x14ac:dyDescent="0.25">
      <c r="A39" s="119"/>
      <c r="B39" s="40"/>
      <c r="C39" s="40"/>
      <c r="D39" s="794"/>
      <c r="E39" s="795"/>
      <c r="F39" s="796"/>
      <c r="G39" s="68"/>
      <c r="H39" s="69"/>
      <c r="I39" s="70"/>
      <c r="J39" s="70"/>
      <c r="K39" s="70"/>
      <c r="L39" s="70"/>
      <c r="M39" s="70"/>
      <c r="N39" s="70"/>
      <c r="O39" s="70"/>
      <c r="P39" s="70"/>
      <c r="Q39" s="70"/>
      <c r="R39" s="70"/>
      <c r="S39" s="70"/>
    </row>
    <row r="40" spans="1:19" x14ac:dyDescent="0.25">
      <c r="A40" s="119"/>
      <c r="B40" s="66"/>
      <c r="C40" s="66"/>
      <c r="D40" s="794"/>
      <c r="E40" s="795"/>
      <c r="F40" s="796"/>
      <c r="G40" s="72"/>
      <c r="H40" s="74"/>
      <c r="I40" s="75"/>
      <c r="J40" s="75"/>
      <c r="K40" s="75"/>
      <c r="L40" s="75"/>
      <c r="M40" s="75"/>
      <c r="N40" s="75"/>
      <c r="O40" s="75"/>
      <c r="P40" s="75"/>
      <c r="Q40" s="75"/>
      <c r="R40" s="75"/>
      <c r="S40" s="75"/>
    </row>
    <row r="41" spans="1:19" x14ac:dyDescent="0.25">
      <c r="A41" s="84"/>
      <c r="G41" s="108">
        <f>SUM(G29:G40)</f>
        <v>0</v>
      </c>
      <c r="H41" s="109">
        <f t="shared" ref="H41:S41" si="21">SUM(H29:H34)</f>
        <v>0</v>
      </c>
      <c r="I41" s="108">
        <f t="shared" si="21"/>
        <v>0</v>
      </c>
      <c r="J41" s="108">
        <f t="shared" si="21"/>
        <v>0</v>
      </c>
      <c r="K41" s="108">
        <f t="shared" si="21"/>
        <v>0</v>
      </c>
      <c r="L41" s="108">
        <f t="shared" si="21"/>
        <v>0</v>
      </c>
      <c r="M41" s="108">
        <f t="shared" si="21"/>
        <v>0</v>
      </c>
      <c r="N41" s="108">
        <f t="shared" si="21"/>
        <v>0</v>
      </c>
      <c r="O41" s="108">
        <f t="shared" si="21"/>
        <v>0</v>
      </c>
      <c r="P41" s="108">
        <f t="shared" si="21"/>
        <v>0</v>
      </c>
      <c r="Q41" s="108">
        <f t="shared" si="21"/>
        <v>0</v>
      </c>
      <c r="R41" s="108">
        <f t="shared" si="21"/>
        <v>0</v>
      </c>
      <c r="S41" s="108">
        <f t="shared" si="21"/>
        <v>0</v>
      </c>
    </row>
    <row r="42" spans="1:19" x14ac:dyDescent="0.25">
      <c r="A42" s="84"/>
    </row>
    <row r="43" spans="1:19" x14ac:dyDescent="0.25">
      <c r="A43" s="84"/>
    </row>
  </sheetData>
  <mergeCells count="21">
    <mergeCell ref="D40:F40"/>
    <mergeCell ref="D38:F38"/>
    <mergeCell ref="H27:I27"/>
    <mergeCell ref="D32:F32"/>
    <mergeCell ref="D29:F29"/>
    <mergeCell ref="D28:F28"/>
    <mergeCell ref="D31:F31"/>
    <mergeCell ref="D30:F30"/>
    <mergeCell ref="D33:F33"/>
    <mergeCell ref="D35:F35"/>
    <mergeCell ref="D34:F34"/>
    <mergeCell ref="D37:F37"/>
    <mergeCell ref="D36:F36"/>
    <mergeCell ref="D39:F39"/>
    <mergeCell ref="N3:Q3"/>
    <mergeCell ref="R3:S3"/>
    <mergeCell ref="J3:M3"/>
    <mergeCell ref="H3:I3"/>
    <mergeCell ref="J27:M27"/>
    <mergeCell ref="N27:Q27"/>
    <mergeCell ref="R27:S27"/>
  </mergeCells>
  <pageMargins left="0.7" right="0.7" top="0.75" bottom="0.75" header="0" footer="0"/>
  <pageSetup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T41"/>
  <sheetViews>
    <sheetView showGridLines="0" workbookViewId="0"/>
  </sheetViews>
  <sheetFormatPr defaultColWidth="14.42578125" defaultRowHeight="15" customHeight="1" outlineLevelRow="1" x14ac:dyDescent="0.25"/>
  <cols>
    <col min="1" max="1" width="17.42578125" customWidth="1"/>
    <col min="2" max="2" width="29.140625" customWidth="1"/>
    <col min="3" max="3" width="20.85546875" customWidth="1"/>
    <col min="4" max="4" width="20.7109375" customWidth="1"/>
    <col min="5" max="6" width="17.140625" customWidth="1"/>
    <col min="7" max="7" width="17.28515625" customWidth="1"/>
    <col min="8" max="19" width="9.85546875" customWidth="1"/>
    <col min="20" max="20" width="7.85546875" customWidth="1"/>
    <col min="21" max="27" width="15.85546875" customWidth="1"/>
  </cols>
  <sheetData>
    <row r="1" spans="1:20" ht="23.25" x14ac:dyDescent="0.35">
      <c r="A1" s="1" t="s">
        <v>2</v>
      </c>
    </row>
    <row r="2" spans="1:20" x14ac:dyDescent="0.25">
      <c r="I2" s="5"/>
      <c r="J2" s="6"/>
      <c r="K2" s="5"/>
      <c r="L2" s="5"/>
      <c r="M2" s="5"/>
      <c r="N2" s="6"/>
      <c r="O2" s="5"/>
      <c r="P2" s="5"/>
      <c r="Q2" s="5"/>
      <c r="R2" s="6"/>
      <c r="S2" s="5"/>
      <c r="T2" s="5"/>
    </row>
    <row r="3" spans="1:20" ht="18.75" x14ac:dyDescent="0.3">
      <c r="A3" s="7" t="s">
        <v>4</v>
      </c>
      <c r="H3" s="790">
        <v>2019</v>
      </c>
      <c r="I3" s="789"/>
      <c r="J3" s="787">
        <v>2020</v>
      </c>
      <c r="K3" s="788"/>
      <c r="L3" s="788"/>
      <c r="M3" s="789"/>
      <c r="N3" s="787">
        <v>2021</v>
      </c>
      <c r="O3" s="788"/>
      <c r="P3" s="788"/>
      <c r="Q3" s="789"/>
      <c r="R3" s="790">
        <v>2022</v>
      </c>
      <c r="S3" s="789"/>
      <c r="T3" s="5"/>
    </row>
    <row r="4" spans="1:20" hidden="1" outlineLevel="1" x14ac:dyDescent="0.25">
      <c r="A4" s="8"/>
      <c r="B4" s="8"/>
      <c r="C4" s="8"/>
      <c r="D4" s="11"/>
      <c r="E4" s="8"/>
      <c r="F4" s="8"/>
      <c r="G4" s="11"/>
      <c r="H4" s="13">
        <v>43647</v>
      </c>
      <c r="I4" s="13">
        <v>43739</v>
      </c>
      <c r="J4" s="13">
        <v>43831</v>
      </c>
      <c r="K4" s="13">
        <v>43922</v>
      </c>
      <c r="L4" s="13">
        <v>44013</v>
      </c>
      <c r="M4" s="13">
        <v>44105</v>
      </c>
      <c r="N4" s="13">
        <v>44197</v>
      </c>
      <c r="O4" s="13">
        <v>44287</v>
      </c>
      <c r="P4" s="13">
        <v>44378</v>
      </c>
      <c r="Q4" s="13">
        <v>44470</v>
      </c>
      <c r="R4" s="13">
        <v>44562</v>
      </c>
      <c r="S4" s="13">
        <v>44652</v>
      </c>
      <c r="T4" s="5"/>
    </row>
    <row r="5" spans="1:20" ht="30" collapsed="1" x14ac:dyDescent="0.25">
      <c r="A5" s="15" t="s">
        <v>8</v>
      </c>
      <c r="B5" s="15" t="s">
        <v>11</v>
      </c>
      <c r="C5" s="15" t="s">
        <v>12</v>
      </c>
      <c r="D5" s="16" t="s">
        <v>13</v>
      </c>
      <c r="E5" s="17" t="s">
        <v>14</v>
      </c>
      <c r="F5" s="17" t="s">
        <v>15</v>
      </c>
      <c r="G5" s="16" t="s">
        <v>16</v>
      </c>
      <c r="H5" s="19" t="s">
        <v>10</v>
      </c>
      <c r="I5" s="21" t="s">
        <v>17</v>
      </c>
      <c r="J5" s="23" t="s">
        <v>18</v>
      </c>
      <c r="K5" s="25" t="s">
        <v>19</v>
      </c>
      <c r="L5" s="25" t="s">
        <v>10</v>
      </c>
      <c r="M5" s="21" t="s">
        <v>17</v>
      </c>
      <c r="N5" s="23" t="s">
        <v>18</v>
      </c>
      <c r="O5" s="25" t="s">
        <v>19</v>
      </c>
      <c r="P5" s="25" t="s">
        <v>10</v>
      </c>
      <c r="Q5" s="21" t="s">
        <v>17</v>
      </c>
      <c r="R5" s="23" t="s">
        <v>18</v>
      </c>
      <c r="S5" s="25" t="s">
        <v>19</v>
      </c>
      <c r="T5" s="5"/>
    </row>
    <row r="6" spans="1:20" x14ac:dyDescent="0.25">
      <c r="A6" s="27"/>
      <c r="B6" s="27"/>
      <c r="C6" s="30"/>
      <c r="D6" s="27"/>
      <c r="E6" s="37"/>
      <c r="F6" s="27"/>
      <c r="G6" s="39"/>
      <c r="H6" s="31">
        <f t="shared" ref="H6:R6" si="0">IF($E6&lt;I$4,($G6*1.3)/4,0)</f>
        <v>0</v>
      </c>
      <c r="I6" s="33">
        <f t="shared" si="0"/>
        <v>0</v>
      </c>
      <c r="J6" s="33">
        <f t="shared" si="0"/>
        <v>0</v>
      </c>
      <c r="K6" s="33">
        <f t="shared" si="0"/>
        <v>0</v>
      </c>
      <c r="L6" s="33">
        <f t="shared" si="0"/>
        <v>0</v>
      </c>
      <c r="M6" s="33">
        <f t="shared" si="0"/>
        <v>0</v>
      </c>
      <c r="N6" s="33">
        <f t="shared" si="0"/>
        <v>0</v>
      </c>
      <c r="O6" s="33">
        <f t="shared" si="0"/>
        <v>0</v>
      </c>
      <c r="P6" s="33">
        <f t="shared" si="0"/>
        <v>0</v>
      </c>
      <c r="Q6" s="33">
        <f t="shared" si="0"/>
        <v>0</v>
      </c>
      <c r="R6" s="33">
        <f t="shared" si="0"/>
        <v>0</v>
      </c>
      <c r="S6" s="33">
        <f t="shared" ref="S6:S24" si="1">IF($E6&lt;S$4,($G6*1.3)/4,0)</f>
        <v>0</v>
      </c>
      <c r="T6" s="5"/>
    </row>
    <row r="7" spans="1:20" x14ac:dyDescent="0.25">
      <c r="A7" s="40"/>
      <c r="B7" s="40"/>
      <c r="C7" s="35"/>
      <c r="D7" s="40"/>
      <c r="E7" s="42"/>
      <c r="F7" s="43"/>
      <c r="G7" s="44"/>
      <c r="H7" s="31">
        <f t="shared" ref="H7:R7" si="2">IF($E7&lt;I$4,($G7*1.3)/4,0)</f>
        <v>0</v>
      </c>
      <c r="I7" s="33">
        <f t="shared" si="2"/>
        <v>0</v>
      </c>
      <c r="J7" s="33">
        <f t="shared" si="2"/>
        <v>0</v>
      </c>
      <c r="K7" s="33">
        <f t="shared" si="2"/>
        <v>0</v>
      </c>
      <c r="L7" s="33">
        <f t="shared" si="2"/>
        <v>0</v>
      </c>
      <c r="M7" s="33">
        <f t="shared" si="2"/>
        <v>0</v>
      </c>
      <c r="N7" s="33">
        <f t="shared" si="2"/>
        <v>0</v>
      </c>
      <c r="O7" s="33">
        <f t="shared" si="2"/>
        <v>0</v>
      </c>
      <c r="P7" s="33">
        <f t="shared" si="2"/>
        <v>0</v>
      </c>
      <c r="Q7" s="33">
        <f t="shared" si="2"/>
        <v>0</v>
      </c>
      <c r="R7" s="33">
        <f t="shared" si="2"/>
        <v>0</v>
      </c>
      <c r="S7" s="33">
        <f t="shared" si="1"/>
        <v>0</v>
      </c>
      <c r="T7" s="5"/>
    </row>
    <row r="8" spans="1:20" x14ac:dyDescent="0.25">
      <c r="A8" s="40"/>
      <c r="B8" s="40"/>
      <c r="C8" s="35"/>
      <c r="D8" s="40"/>
      <c r="E8" s="42"/>
      <c r="F8" s="43"/>
      <c r="G8" s="44"/>
      <c r="H8" s="31">
        <f t="shared" ref="H8:R8" si="3">IF($E8&lt;I$4,($G8*1.3)/4,0)</f>
        <v>0</v>
      </c>
      <c r="I8" s="33">
        <f t="shared" si="3"/>
        <v>0</v>
      </c>
      <c r="J8" s="33">
        <f t="shared" si="3"/>
        <v>0</v>
      </c>
      <c r="K8" s="33">
        <f t="shared" si="3"/>
        <v>0</v>
      </c>
      <c r="L8" s="33">
        <f t="shared" si="3"/>
        <v>0</v>
      </c>
      <c r="M8" s="33">
        <f t="shared" si="3"/>
        <v>0</v>
      </c>
      <c r="N8" s="33">
        <f t="shared" si="3"/>
        <v>0</v>
      </c>
      <c r="O8" s="33">
        <f t="shared" si="3"/>
        <v>0</v>
      </c>
      <c r="P8" s="33">
        <f t="shared" si="3"/>
        <v>0</v>
      </c>
      <c r="Q8" s="33">
        <f t="shared" si="3"/>
        <v>0</v>
      </c>
      <c r="R8" s="33">
        <f t="shared" si="3"/>
        <v>0</v>
      </c>
      <c r="S8" s="33">
        <f t="shared" si="1"/>
        <v>0</v>
      </c>
      <c r="T8" s="5"/>
    </row>
    <row r="9" spans="1:20" x14ac:dyDescent="0.25">
      <c r="A9" s="40"/>
      <c r="B9" s="40"/>
      <c r="C9" s="35"/>
      <c r="D9" s="40"/>
      <c r="E9" s="42"/>
      <c r="F9" s="43"/>
      <c r="G9" s="44"/>
      <c r="H9" s="31">
        <f t="shared" ref="H9:R9" si="4">IF($E9&lt;I$4,($G9*1.3)/4,0)</f>
        <v>0</v>
      </c>
      <c r="I9" s="33">
        <f t="shared" si="4"/>
        <v>0</v>
      </c>
      <c r="J9" s="33">
        <f t="shared" si="4"/>
        <v>0</v>
      </c>
      <c r="K9" s="33">
        <f t="shared" si="4"/>
        <v>0</v>
      </c>
      <c r="L9" s="33">
        <f t="shared" si="4"/>
        <v>0</v>
      </c>
      <c r="M9" s="33">
        <f t="shared" si="4"/>
        <v>0</v>
      </c>
      <c r="N9" s="33">
        <f t="shared" si="4"/>
        <v>0</v>
      </c>
      <c r="O9" s="33">
        <f t="shared" si="4"/>
        <v>0</v>
      </c>
      <c r="P9" s="33">
        <f t="shared" si="4"/>
        <v>0</v>
      </c>
      <c r="Q9" s="33">
        <f t="shared" si="4"/>
        <v>0</v>
      </c>
      <c r="R9" s="33">
        <f t="shared" si="4"/>
        <v>0</v>
      </c>
      <c r="S9" s="33">
        <f t="shared" si="1"/>
        <v>0</v>
      </c>
      <c r="T9" s="5"/>
    </row>
    <row r="10" spans="1:20" x14ac:dyDescent="0.25">
      <c r="A10" s="40"/>
      <c r="B10" s="40"/>
      <c r="C10" s="35"/>
      <c r="D10" s="40"/>
      <c r="E10" s="42"/>
      <c r="F10" s="43"/>
      <c r="G10" s="44"/>
      <c r="H10" s="31">
        <f t="shared" ref="H10:R10" si="5">IF($E10&lt;I$4,($G10*1.3)/4,0)</f>
        <v>0</v>
      </c>
      <c r="I10" s="33">
        <f t="shared" si="5"/>
        <v>0</v>
      </c>
      <c r="J10" s="33">
        <f t="shared" si="5"/>
        <v>0</v>
      </c>
      <c r="K10" s="33">
        <f t="shared" si="5"/>
        <v>0</v>
      </c>
      <c r="L10" s="33">
        <f t="shared" si="5"/>
        <v>0</v>
      </c>
      <c r="M10" s="33">
        <f t="shared" si="5"/>
        <v>0</v>
      </c>
      <c r="N10" s="33">
        <f t="shared" si="5"/>
        <v>0</v>
      </c>
      <c r="O10" s="33">
        <f t="shared" si="5"/>
        <v>0</v>
      </c>
      <c r="P10" s="33">
        <f t="shared" si="5"/>
        <v>0</v>
      </c>
      <c r="Q10" s="33">
        <f t="shared" si="5"/>
        <v>0</v>
      </c>
      <c r="R10" s="33">
        <f t="shared" si="5"/>
        <v>0</v>
      </c>
      <c r="S10" s="33">
        <f t="shared" si="1"/>
        <v>0</v>
      </c>
      <c r="T10" s="5"/>
    </row>
    <row r="11" spans="1:20" x14ac:dyDescent="0.25">
      <c r="A11" s="40"/>
      <c r="B11" s="40"/>
      <c r="C11" s="35"/>
      <c r="D11" s="40"/>
      <c r="E11" s="42"/>
      <c r="F11" s="43"/>
      <c r="G11" s="44"/>
      <c r="H11" s="31">
        <f t="shared" ref="H11:R11" si="6">IF($E11&lt;I$4,($G11*1.3)/4,0)</f>
        <v>0</v>
      </c>
      <c r="I11" s="33">
        <f t="shared" si="6"/>
        <v>0</v>
      </c>
      <c r="J11" s="33">
        <f t="shared" si="6"/>
        <v>0</v>
      </c>
      <c r="K11" s="33">
        <f t="shared" si="6"/>
        <v>0</v>
      </c>
      <c r="L11" s="33">
        <f t="shared" si="6"/>
        <v>0</v>
      </c>
      <c r="M11" s="33">
        <f t="shared" si="6"/>
        <v>0</v>
      </c>
      <c r="N11" s="33">
        <f t="shared" si="6"/>
        <v>0</v>
      </c>
      <c r="O11" s="33">
        <f t="shared" si="6"/>
        <v>0</v>
      </c>
      <c r="P11" s="33">
        <f t="shared" si="6"/>
        <v>0</v>
      </c>
      <c r="Q11" s="33">
        <f t="shared" si="6"/>
        <v>0</v>
      </c>
      <c r="R11" s="33">
        <f t="shared" si="6"/>
        <v>0</v>
      </c>
      <c r="S11" s="33">
        <f t="shared" si="1"/>
        <v>0</v>
      </c>
      <c r="T11" s="5"/>
    </row>
    <row r="12" spans="1:20" x14ac:dyDescent="0.25">
      <c r="A12" s="40"/>
      <c r="B12" s="40"/>
      <c r="C12" s="35"/>
      <c r="D12" s="40"/>
      <c r="E12" s="42"/>
      <c r="F12" s="43"/>
      <c r="G12" s="44"/>
      <c r="H12" s="31">
        <f t="shared" ref="H12:R12" si="7">IF($E12&lt;I$4,($G12*1.3)/4,0)</f>
        <v>0</v>
      </c>
      <c r="I12" s="33">
        <f t="shared" si="7"/>
        <v>0</v>
      </c>
      <c r="J12" s="33">
        <f t="shared" si="7"/>
        <v>0</v>
      </c>
      <c r="K12" s="33">
        <f t="shared" si="7"/>
        <v>0</v>
      </c>
      <c r="L12" s="33">
        <f t="shared" si="7"/>
        <v>0</v>
      </c>
      <c r="M12" s="33">
        <f t="shared" si="7"/>
        <v>0</v>
      </c>
      <c r="N12" s="33">
        <f t="shared" si="7"/>
        <v>0</v>
      </c>
      <c r="O12" s="33">
        <f t="shared" si="7"/>
        <v>0</v>
      </c>
      <c r="P12" s="33">
        <f t="shared" si="7"/>
        <v>0</v>
      </c>
      <c r="Q12" s="33">
        <f t="shared" si="7"/>
        <v>0</v>
      </c>
      <c r="R12" s="33">
        <f t="shared" si="7"/>
        <v>0</v>
      </c>
      <c r="S12" s="33">
        <f t="shared" si="1"/>
        <v>0</v>
      </c>
      <c r="T12" s="5"/>
    </row>
    <row r="13" spans="1:20" x14ac:dyDescent="0.25">
      <c r="A13" s="40"/>
      <c r="B13" s="40"/>
      <c r="C13" s="35"/>
      <c r="D13" s="40"/>
      <c r="E13" s="42"/>
      <c r="F13" s="43"/>
      <c r="G13" s="44"/>
      <c r="H13" s="31">
        <f t="shared" ref="H13:R13" si="8">IF($E13&lt;I$4,($G13*1.3)/4,0)</f>
        <v>0</v>
      </c>
      <c r="I13" s="33">
        <f t="shared" si="8"/>
        <v>0</v>
      </c>
      <c r="J13" s="33">
        <f t="shared" si="8"/>
        <v>0</v>
      </c>
      <c r="K13" s="33">
        <f t="shared" si="8"/>
        <v>0</v>
      </c>
      <c r="L13" s="33">
        <f t="shared" si="8"/>
        <v>0</v>
      </c>
      <c r="M13" s="33">
        <f t="shared" si="8"/>
        <v>0</v>
      </c>
      <c r="N13" s="33">
        <f t="shared" si="8"/>
        <v>0</v>
      </c>
      <c r="O13" s="33">
        <f t="shared" si="8"/>
        <v>0</v>
      </c>
      <c r="P13" s="33">
        <f t="shared" si="8"/>
        <v>0</v>
      </c>
      <c r="Q13" s="33">
        <f t="shared" si="8"/>
        <v>0</v>
      </c>
      <c r="R13" s="33">
        <f t="shared" si="8"/>
        <v>0</v>
      </c>
      <c r="S13" s="33">
        <f t="shared" si="1"/>
        <v>0</v>
      </c>
      <c r="T13" s="5"/>
    </row>
    <row r="14" spans="1:20" x14ac:dyDescent="0.25">
      <c r="A14" s="40"/>
      <c r="B14" s="40"/>
      <c r="C14" s="35"/>
      <c r="D14" s="40"/>
      <c r="E14" s="42"/>
      <c r="F14" s="43"/>
      <c r="G14" s="44"/>
      <c r="H14" s="31">
        <f t="shared" ref="H14:R14" si="9">IF($E14&lt;I$4,($G14*1.3)/4,0)</f>
        <v>0</v>
      </c>
      <c r="I14" s="33">
        <f t="shared" si="9"/>
        <v>0</v>
      </c>
      <c r="J14" s="33">
        <f t="shared" si="9"/>
        <v>0</v>
      </c>
      <c r="K14" s="33">
        <f t="shared" si="9"/>
        <v>0</v>
      </c>
      <c r="L14" s="33">
        <f t="shared" si="9"/>
        <v>0</v>
      </c>
      <c r="M14" s="33">
        <f t="shared" si="9"/>
        <v>0</v>
      </c>
      <c r="N14" s="33">
        <f t="shared" si="9"/>
        <v>0</v>
      </c>
      <c r="O14" s="33">
        <f t="shared" si="9"/>
        <v>0</v>
      </c>
      <c r="P14" s="33">
        <f t="shared" si="9"/>
        <v>0</v>
      </c>
      <c r="Q14" s="33">
        <f t="shared" si="9"/>
        <v>0</v>
      </c>
      <c r="R14" s="33">
        <f t="shared" si="9"/>
        <v>0</v>
      </c>
      <c r="S14" s="33">
        <f t="shared" si="1"/>
        <v>0</v>
      </c>
      <c r="T14" s="5"/>
    </row>
    <row r="15" spans="1:20" x14ac:dyDescent="0.25">
      <c r="A15" s="40"/>
      <c r="B15" s="40"/>
      <c r="C15" s="35"/>
      <c r="D15" s="40"/>
      <c r="E15" s="42"/>
      <c r="F15" s="43"/>
      <c r="G15" s="44"/>
      <c r="H15" s="31">
        <f t="shared" ref="H15:R15" si="10">IF($E15&lt;I$4,($G15*1.3)/4,0)</f>
        <v>0</v>
      </c>
      <c r="I15" s="33">
        <f t="shared" si="10"/>
        <v>0</v>
      </c>
      <c r="J15" s="33">
        <f t="shared" si="10"/>
        <v>0</v>
      </c>
      <c r="K15" s="33">
        <f t="shared" si="10"/>
        <v>0</v>
      </c>
      <c r="L15" s="33">
        <f t="shared" si="10"/>
        <v>0</v>
      </c>
      <c r="M15" s="33">
        <f t="shared" si="10"/>
        <v>0</v>
      </c>
      <c r="N15" s="33">
        <f t="shared" si="10"/>
        <v>0</v>
      </c>
      <c r="O15" s="33">
        <f t="shared" si="10"/>
        <v>0</v>
      </c>
      <c r="P15" s="33">
        <f t="shared" si="10"/>
        <v>0</v>
      </c>
      <c r="Q15" s="33">
        <f t="shared" si="10"/>
        <v>0</v>
      </c>
      <c r="R15" s="33">
        <f t="shared" si="10"/>
        <v>0</v>
      </c>
      <c r="S15" s="33">
        <f t="shared" si="1"/>
        <v>0</v>
      </c>
      <c r="T15" s="5"/>
    </row>
    <row r="16" spans="1:20" x14ac:dyDescent="0.25">
      <c r="A16" s="40"/>
      <c r="B16" s="40"/>
      <c r="C16" s="35"/>
      <c r="D16" s="40"/>
      <c r="E16" s="42"/>
      <c r="F16" s="43"/>
      <c r="G16" s="44"/>
      <c r="H16" s="31">
        <f t="shared" ref="H16:R16" si="11">IF($E16&lt;I$4,($G16*1.3)/4,0)</f>
        <v>0</v>
      </c>
      <c r="I16" s="33">
        <f t="shared" si="11"/>
        <v>0</v>
      </c>
      <c r="J16" s="33">
        <f t="shared" si="11"/>
        <v>0</v>
      </c>
      <c r="K16" s="33">
        <f t="shared" si="11"/>
        <v>0</v>
      </c>
      <c r="L16" s="33">
        <f t="shared" si="11"/>
        <v>0</v>
      </c>
      <c r="M16" s="33">
        <f t="shared" si="11"/>
        <v>0</v>
      </c>
      <c r="N16" s="33">
        <f t="shared" si="11"/>
        <v>0</v>
      </c>
      <c r="O16" s="33">
        <f t="shared" si="11"/>
        <v>0</v>
      </c>
      <c r="P16" s="33">
        <f t="shared" si="11"/>
        <v>0</v>
      </c>
      <c r="Q16" s="33">
        <f t="shared" si="11"/>
        <v>0</v>
      </c>
      <c r="R16" s="33">
        <f t="shared" si="11"/>
        <v>0</v>
      </c>
      <c r="S16" s="33">
        <f t="shared" si="1"/>
        <v>0</v>
      </c>
      <c r="T16" s="5"/>
    </row>
    <row r="17" spans="1:20" x14ac:dyDescent="0.25">
      <c r="A17" s="40"/>
      <c r="B17" s="40"/>
      <c r="C17" s="35"/>
      <c r="D17" s="40"/>
      <c r="E17" s="40"/>
      <c r="F17" s="43"/>
      <c r="G17" s="44"/>
      <c r="H17" s="31">
        <f t="shared" ref="H17:R17" si="12">IF($E17&lt;I$4,($G17*1.3)/4,0)</f>
        <v>0</v>
      </c>
      <c r="I17" s="33">
        <f t="shared" si="12"/>
        <v>0</v>
      </c>
      <c r="J17" s="33">
        <f t="shared" si="12"/>
        <v>0</v>
      </c>
      <c r="K17" s="33">
        <f t="shared" si="12"/>
        <v>0</v>
      </c>
      <c r="L17" s="33">
        <f t="shared" si="12"/>
        <v>0</v>
      </c>
      <c r="M17" s="33">
        <f t="shared" si="12"/>
        <v>0</v>
      </c>
      <c r="N17" s="33">
        <f t="shared" si="12"/>
        <v>0</v>
      </c>
      <c r="O17" s="33">
        <f t="shared" si="12"/>
        <v>0</v>
      </c>
      <c r="P17" s="33">
        <f t="shared" si="12"/>
        <v>0</v>
      </c>
      <c r="Q17" s="33">
        <f t="shared" si="12"/>
        <v>0</v>
      </c>
      <c r="R17" s="33">
        <f t="shared" si="12"/>
        <v>0</v>
      </c>
      <c r="S17" s="33">
        <f t="shared" si="1"/>
        <v>0</v>
      </c>
      <c r="T17" s="5"/>
    </row>
    <row r="18" spans="1:20" x14ac:dyDescent="0.25">
      <c r="A18" s="40"/>
      <c r="B18" s="40"/>
      <c r="C18" s="35"/>
      <c r="D18" s="40"/>
      <c r="E18" s="40"/>
      <c r="F18" s="43"/>
      <c r="G18" s="44"/>
      <c r="H18" s="31">
        <f t="shared" ref="H18:R18" si="13">IF($E18&lt;I$4,($G18*1.3)/4,0)</f>
        <v>0</v>
      </c>
      <c r="I18" s="33">
        <f t="shared" si="13"/>
        <v>0</v>
      </c>
      <c r="J18" s="33">
        <f t="shared" si="13"/>
        <v>0</v>
      </c>
      <c r="K18" s="33">
        <f t="shared" si="13"/>
        <v>0</v>
      </c>
      <c r="L18" s="33">
        <f t="shared" si="13"/>
        <v>0</v>
      </c>
      <c r="M18" s="33">
        <f t="shared" si="13"/>
        <v>0</v>
      </c>
      <c r="N18" s="33">
        <f t="shared" si="13"/>
        <v>0</v>
      </c>
      <c r="O18" s="33">
        <f t="shared" si="13"/>
        <v>0</v>
      </c>
      <c r="P18" s="33">
        <f t="shared" si="13"/>
        <v>0</v>
      </c>
      <c r="Q18" s="33">
        <f t="shared" si="13"/>
        <v>0</v>
      </c>
      <c r="R18" s="33">
        <f t="shared" si="13"/>
        <v>0</v>
      </c>
      <c r="S18" s="33">
        <f t="shared" si="1"/>
        <v>0</v>
      </c>
      <c r="T18" s="5"/>
    </row>
    <row r="19" spans="1:20" x14ac:dyDescent="0.25">
      <c r="A19" s="40"/>
      <c r="B19" s="40"/>
      <c r="C19" s="35"/>
      <c r="D19" s="40"/>
      <c r="E19" s="40"/>
      <c r="F19" s="43"/>
      <c r="G19" s="44"/>
      <c r="H19" s="31">
        <f t="shared" ref="H19:R19" si="14">IF($E19&lt;I$4,($G19*1.3)/4,0)</f>
        <v>0</v>
      </c>
      <c r="I19" s="33">
        <f t="shared" si="14"/>
        <v>0</v>
      </c>
      <c r="J19" s="33">
        <f t="shared" si="14"/>
        <v>0</v>
      </c>
      <c r="K19" s="33">
        <f t="shared" si="14"/>
        <v>0</v>
      </c>
      <c r="L19" s="33">
        <f t="shared" si="14"/>
        <v>0</v>
      </c>
      <c r="M19" s="33">
        <f t="shared" si="14"/>
        <v>0</v>
      </c>
      <c r="N19" s="33">
        <f t="shared" si="14"/>
        <v>0</v>
      </c>
      <c r="O19" s="33">
        <f t="shared" si="14"/>
        <v>0</v>
      </c>
      <c r="P19" s="33">
        <f t="shared" si="14"/>
        <v>0</v>
      </c>
      <c r="Q19" s="33">
        <f t="shared" si="14"/>
        <v>0</v>
      </c>
      <c r="R19" s="33">
        <f t="shared" si="14"/>
        <v>0</v>
      </c>
      <c r="S19" s="33">
        <f t="shared" si="1"/>
        <v>0</v>
      </c>
      <c r="T19" s="5"/>
    </row>
    <row r="20" spans="1:20" x14ac:dyDescent="0.25">
      <c r="A20" s="40"/>
      <c r="B20" s="40"/>
      <c r="C20" s="35"/>
      <c r="D20" s="40"/>
      <c r="E20" s="43"/>
      <c r="F20" s="43"/>
      <c r="G20" s="44"/>
      <c r="H20" s="31">
        <f t="shared" ref="H20:R20" si="15">IF($E20&lt;I$4,($G20*1.3)/4,0)</f>
        <v>0</v>
      </c>
      <c r="I20" s="33">
        <f t="shared" si="15"/>
        <v>0</v>
      </c>
      <c r="J20" s="33">
        <f t="shared" si="15"/>
        <v>0</v>
      </c>
      <c r="K20" s="33">
        <f t="shared" si="15"/>
        <v>0</v>
      </c>
      <c r="L20" s="33">
        <f t="shared" si="15"/>
        <v>0</v>
      </c>
      <c r="M20" s="33">
        <f t="shared" si="15"/>
        <v>0</v>
      </c>
      <c r="N20" s="33">
        <f t="shared" si="15"/>
        <v>0</v>
      </c>
      <c r="O20" s="33">
        <f t="shared" si="15"/>
        <v>0</v>
      </c>
      <c r="P20" s="33">
        <f t="shared" si="15"/>
        <v>0</v>
      </c>
      <c r="Q20" s="33">
        <f t="shared" si="15"/>
        <v>0</v>
      </c>
      <c r="R20" s="33">
        <f t="shared" si="15"/>
        <v>0</v>
      </c>
      <c r="S20" s="33">
        <f t="shared" si="1"/>
        <v>0</v>
      </c>
      <c r="T20" s="5"/>
    </row>
    <row r="21" spans="1:20" x14ac:dyDescent="0.25">
      <c r="A21" s="40"/>
      <c r="B21" s="40"/>
      <c r="C21" s="35"/>
      <c r="D21" s="40"/>
      <c r="E21" s="43"/>
      <c r="F21" s="43"/>
      <c r="G21" s="44"/>
      <c r="H21" s="31">
        <f t="shared" ref="H21:R21" si="16">IF($E21&lt;I$4,($G21*1.3)/4,0)</f>
        <v>0</v>
      </c>
      <c r="I21" s="33">
        <f t="shared" si="16"/>
        <v>0</v>
      </c>
      <c r="J21" s="33">
        <f t="shared" si="16"/>
        <v>0</v>
      </c>
      <c r="K21" s="33">
        <f t="shared" si="16"/>
        <v>0</v>
      </c>
      <c r="L21" s="33">
        <f t="shared" si="16"/>
        <v>0</v>
      </c>
      <c r="M21" s="33">
        <f t="shared" si="16"/>
        <v>0</v>
      </c>
      <c r="N21" s="33">
        <f t="shared" si="16"/>
        <v>0</v>
      </c>
      <c r="O21" s="33">
        <f t="shared" si="16"/>
        <v>0</v>
      </c>
      <c r="P21" s="33">
        <f t="shared" si="16"/>
        <v>0</v>
      </c>
      <c r="Q21" s="33">
        <f t="shared" si="16"/>
        <v>0</v>
      </c>
      <c r="R21" s="33">
        <f t="shared" si="16"/>
        <v>0</v>
      </c>
      <c r="S21" s="33">
        <f t="shared" si="1"/>
        <v>0</v>
      </c>
      <c r="T21" s="5"/>
    </row>
    <row r="22" spans="1:20" x14ac:dyDescent="0.25">
      <c r="A22" s="66"/>
      <c r="B22" s="66"/>
      <c r="C22" s="76"/>
      <c r="D22" s="77"/>
      <c r="E22" s="66"/>
      <c r="F22" s="66"/>
      <c r="G22" s="79"/>
      <c r="H22" s="31">
        <f t="shared" ref="H22:R22" si="17">IF($E22&lt;I$4,($G22*1.3)/4,0)</f>
        <v>0</v>
      </c>
      <c r="I22" s="33">
        <f t="shared" si="17"/>
        <v>0</v>
      </c>
      <c r="J22" s="33">
        <f t="shared" si="17"/>
        <v>0</v>
      </c>
      <c r="K22" s="33">
        <f t="shared" si="17"/>
        <v>0</v>
      </c>
      <c r="L22" s="33">
        <f t="shared" si="17"/>
        <v>0</v>
      </c>
      <c r="M22" s="33">
        <f t="shared" si="17"/>
        <v>0</v>
      </c>
      <c r="N22" s="33">
        <f t="shared" si="17"/>
        <v>0</v>
      </c>
      <c r="O22" s="33">
        <f t="shared" si="17"/>
        <v>0</v>
      </c>
      <c r="P22" s="33">
        <f t="shared" si="17"/>
        <v>0</v>
      </c>
      <c r="Q22" s="33">
        <f t="shared" si="17"/>
        <v>0</v>
      </c>
      <c r="R22" s="33">
        <f t="shared" si="17"/>
        <v>0</v>
      </c>
      <c r="S22" s="33">
        <f t="shared" si="1"/>
        <v>0</v>
      </c>
      <c r="T22" s="5"/>
    </row>
    <row r="23" spans="1:20" x14ac:dyDescent="0.25">
      <c r="A23" s="66"/>
      <c r="B23" s="66"/>
      <c r="C23" s="76"/>
      <c r="D23" s="77"/>
      <c r="E23" s="66"/>
      <c r="F23" s="66"/>
      <c r="G23" s="79"/>
      <c r="H23" s="31">
        <f t="shared" ref="H23:R23" si="18">IF($E23&lt;I$4,($G23*1.3)/4,0)</f>
        <v>0</v>
      </c>
      <c r="I23" s="33">
        <f t="shared" si="18"/>
        <v>0</v>
      </c>
      <c r="J23" s="33">
        <f t="shared" si="18"/>
        <v>0</v>
      </c>
      <c r="K23" s="33">
        <f t="shared" si="18"/>
        <v>0</v>
      </c>
      <c r="L23" s="33">
        <f t="shared" si="18"/>
        <v>0</v>
      </c>
      <c r="M23" s="33">
        <f t="shared" si="18"/>
        <v>0</v>
      </c>
      <c r="N23" s="33">
        <f t="shared" si="18"/>
        <v>0</v>
      </c>
      <c r="O23" s="33">
        <f t="shared" si="18"/>
        <v>0</v>
      </c>
      <c r="P23" s="33">
        <f t="shared" si="18"/>
        <v>0</v>
      </c>
      <c r="Q23" s="33">
        <f t="shared" si="18"/>
        <v>0</v>
      </c>
      <c r="R23" s="33">
        <f t="shared" si="18"/>
        <v>0</v>
      </c>
      <c r="S23" s="33">
        <f t="shared" si="1"/>
        <v>0</v>
      </c>
      <c r="T23" s="5"/>
    </row>
    <row r="24" spans="1:20" x14ac:dyDescent="0.25">
      <c r="A24" s="66"/>
      <c r="B24" s="66"/>
      <c r="C24" s="76"/>
      <c r="D24" s="77"/>
      <c r="E24" s="66"/>
      <c r="F24" s="66"/>
      <c r="G24" s="79"/>
      <c r="H24" s="31">
        <f t="shared" ref="H24:R24" si="19">IF($E24&lt;I$4,($G24*1.3)/4,0)</f>
        <v>0</v>
      </c>
      <c r="I24" s="33">
        <f t="shared" si="19"/>
        <v>0</v>
      </c>
      <c r="J24" s="33">
        <f t="shared" si="19"/>
        <v>0</v>
      </c>
      <c r="K24" s="33">
        <f t="shared" si="19"/>
        <v>0</v>
      </c>
      <c r="L24" s="33">
        <f t="shared" si="19"/>
        <v>0</v>
      </c>
      <c r="M24" s="33">
        <f t="shared" si="19"/>
        <v>0</v>
      </c>
      <c r="N24" s="33">
        <f t="shared" si="19"/>
        <v>0</v>
      </c>
      <c r="O24" s="33">
        <f t="shared" si="19"/>
        <v>0</v>
      </c>
      <c r="P24" s="33">
        <f t="shared" si="19"/>
        <v>0</v>
      </c>
      <c r="Q24" s="33">
        <f t="shared" si="19"/>
        <v>0</v>
      </c>
      <c r="R24" s="33">
        <f t="shared" si="19"/>
        <v>0</v>
      </c>
      <c r="S24" s="33">
        <f t="shared" si="1"/>
        <v>0</v>
      </c>
      <c r="T24" s="5"/>
    </row>
    <row r="25" spans="1:20" x14ac:dyDescent="0.25">
      <c r="A25" s="50"/>
      <c r="B25" s="50"/>
      <c r="C25" s="50"/>
      <c r="D25" s="50"/>
      <c r="E25" s="50"/>
      <c r="F25" s="50"/>
      <c r="G25" s="50"/>
      <c r="H25" s="81">
        <f t="shared" ref="H25:S25" si="20">SUM(H6:H24)</f>
        <v>0</v>
      </c>
      <c r="I25" s="82">
        <f t="shared" si="20"/>
        <v>0</v>
      </c>
      <c r="J25" s="82">
        <f t="shared" si="20"/>
        <v>0</v>
      </c>
      <c r="K25" s="82">
        <f t="shared" si="20"/>
        <v>0</v>
      </c>
      <c r="L25" s="82">
        <f t="shared" si="20"/>
        <v>0</v>
      </c>
      <c r="M25" s="82">
        <f t="shared" si="20"/>
        <v>0</v>
      </c>
      <c r="N25" s="82">
        <f t="shared" si="20"/>
        <v>0</v>
      </c>
      <c r="O25" s="82">
        <f t="shared" si="20"/>
        <v>0</v>
      </c>
      <c r="P25" s="82">
        <f t="shared" si="20"/>
        <v>0</v>
      </c>
      <c r="Q25" s="82">
        <f t="shared" si="20"/>
        <v>0</v>
      </c>
      <c r="R25" s="82">
        <f t="shared" si="20"/>
        <v>0</v>
      </c>
      <c r="S25" s="82">
        <f t="shared" si="20"/>
        <v>0</v>
      </c>
      <c r="T25" s="5"/>
    </row>
    <row r="26" spans="1:20" x14ac:dyDescent="0.25">
      <c r="B26" s="5"/>
      <c r="C26" s="5"/>
      <c r="D26" s="5"/>
      <c r="E26" s="5"/>
      <c r="F26" s="5"/>
      <c r="G26" s="5"/>
      <c r="H26" s="5"/>
      <c r="I26" s="5"/>
      <c r="J26" s="5"/>
      <c r="K26" s="5"/>
      <c r="L26" s="5"/>
      <c r="M26" s="5"/>
      <c r="N26" s="5"/>
      <c r="O26" s="5"/>
      <c r="P26" s="5"/>
      <c r="Q26" s="5"/>
      <c r="R26" s="5"/>
      <c r="S26" s="5"/>
    </row>
    <row r="27" spans="1:20" ht="18.75" x14ac:dyDescent="0.3">
      <c r="A27" s="7" t="s">
        <v>67</v>
      </c>
      <c r="B27" s="5"/>
      <c r="C27" s="5"/>
      <c r="D27" s="5"/>
      <c r="E27" s="5"/>
      <c r="F27" s="5"/>
      <c r="G27" s="5"/>
      <c r="H27" s="790">
        <v>2019</v>
      </c>
      <c r="I27" s="789"/>
      <c r="J27" s="787">
        <v>2020</v>
      </c>
      <c r="K27" s="788"/>
      <c r="L27" s="788"/>
      <c r="M27" s="789"/>
      <c r="N27" s="787">
        <v>2021</v>
      </c>
      <c r="O27" s="788"/>
      <c r="P27" s="788"/>
      <c r="Q27" s="789"/>
      <c r="R27" s="790">
        <v>2022</v>
      </c>
      <c r="S27" s="789"/>
    </row>
    <row r="28" spans="1:20" ht="30" x14ac:dyDescent="0.25">
      <c r="A28" s="54" t="s">
        <v>8</v>
      </c>
      <c r="B28" s="54" t="s">
        <v>11</v>
      </c>
      <c r="C28" s="54" t="s">
        <v>71</v>
      </c>
      <c r="D28" s="791" t="s">
        <v>72</v>
      </c>
      <c r="E28" s="792"/>
      <c r="F28" s="793"/>
      <c r="G28" s="55" t="s">
        <v>73</v>
      </c>
      <c r="H28" s="18" t="s">
        <v>10</v>
      </c>
      <c r="I28" s="20" t="s">
        <v>17</v>
      </c>
      <c r="J28" s="22" t="s">
        <v>18</v>
      </c>
      <c r="K28" s="18" t="s">
        <v>19</v>
      </c>
      <c r="L28" s="18" t="s">
        <v>10</v>
      </c>
      <c r="M28" s="20" t="s">
        <v>17</v>
      </c>
      <c r="N28" s="22" t="s">
        <v>18</v>
      </c>
      <c r="O28" s="18" t="s">
        <v>19</v>
      </c>
      <c r="P28" s="18" t="s">
        <v>10</v>
      </c>
      <c r="Q28" s="20" t="s">
        <v>17</v>
      </c>
      <c r="R28" s="22" t="s">
        <v>18</v>
      </c>
      <c r="S28" s="18" t="s">
        <v>19</v>
      </c>
    </row>
    <row r="29" spans="1:20" x14ac:dyDescent="0.25">
      <c r="A29" s="40"/>
      <c r="B29" s="40"/>
      <c r="C29" s="40"/>
      <c r="D29" s="794"/>
      <c r="E29" s="795"/>
      <c r="F29" s="796"/>
      <c r="G29" s="58"/>
      <c r="H29" s="56"/>
      <c r="I29" s="57">
        <f t="shared" ref="I29:I38" si="21">G29</f>
        <v>0</v>
      </c>
      <c r="J29" s="57"/>
      <c r="K29" s="57"/>
      <c r="L29" s="57"/>
      <c r="M29" s="57"/>
      <c r="N29" s="57"/>
      <c r="O29" s="57"/>
      <c r="P29" s="57"/>
      <c r="Q29" s="57"/>
      <c r="R29" s="57"/>
      <c r="S29" s="57"/>
    </row>
    <row r="30" spans="1:20" x14ac:dyDescent="0.25">
      <c r="A30" s="40"/>
      <c r="B30" s="40"/>
      <c r="C30" s="40"/>
      <c r="D30" s="794"/>
      <c r="E30" s="795"/>
      <c r="F30" s="796"/>
      <c r="G30" s="58"/>
      <c r="H30" s="56"/>
      <c r="I30" s="57">
        <f t="shared" si="21"/>
        <v>0</v>
      </c>
      <c r="J30" s="57"/>
      <c r="K30" s="57"/>
      <c r="L30" s="57"/>
      <c r="M30" s="57"/>
      <c r="N30" s="57"/>
      <c r="O30" s="57"/>
      <c r="P30" s="57"/>
      <c r="Q30" s="57"/>
      <c r="R30" s="57"/>
      <c r="S30" s="57"/>
    </row>
    <row r="31" spans="1:20" x14ac:dyDescent="0.25">
      <c r="A31" s="40"/>
      <c r="B31" s="40"/>
      <c r="C31" s="40"/>
      <c r="D31" s="794"/>
      <c r="E31" s="795"/>
      <c r="F31" s="796"/>
      <c r="G31" s="58"/>
      <c r="H31" s="56"/>
      <c r="I31" s="57">
        <f t="shared" si="21"/>
        <v>0</v>
      </c>
      <c r="J31" s="57"/>
      <c r="K31" s="57"/>
      <c r="L31" s="57"/>
      <c r="M31" s="57"/>
      <c r="N31" s="57"/>
      <c r="O31" s="57"/>
      <c r="P31" s="57"/>
      <c r="Q31" s="57"/>
      <c r="R31" s="57"/>
      <c r="S31" s="57"/>
    </row>
    <row r="32" spans="1:20" x14ac:dyDescent="0.25">
      <c r="A32" s="40"/>
      <c r="B32" s="40"/>
      <c r="C32" s="40"/>
      <c r="D32" s="794"/>
      <c r="E32" s="795"/>
      <c r="F32" s="796"/>
      <c r="G32" s="58"/>
      <c r="H32" s="56"/>
      <c r="I32" s="57">
        <f t="shared" si="21"/>
        <v>0</v>
      </c>
      <c r="J32" s="57"/>
      <c r="K32" s="57"/>
      <c r="L32" s="57"/>
      <c r="M32" s="57"/>
      <c r="N32" s="57"/>
      <c r="O32" s="57"/>
      <c r="P32" s="57"/>
      <c r="Q32" s="57"/>
      <c r="R32" s="57"/>
      <c r="S32" s="57"/>
    </row>
    <row r="33" spans="1:19" x14ac:dyDescent="0.25">
      <c r="A33" s="40"/>
      <c r="B33" s="40"/>
      <c r="C33" s="40"/>
      <c r="D33" s="794"/>
      <c r="E33" s="795"/>
      <c r="F33" s="796"/>
      <c r="G33" s="58"/>
      <c r="H33" s="56"/>
      <c r="I33" s="57">
        <f t="shared" si="21"/>
        <v>0</v>
      </c>
      <c r="J33" s="57"/>
      <c r="K33" s="57"/>
      <c r="L33" s="57"/>
      <c r="M33" s="57"/>
      <c r="N33" s="57"/>
      <c r="O33" s="57"/>
      <c r="P33" s="57"/>
      <c r="Q33" s="57"/>
      <c r="R33" s="57"/>
      <c r="S33" s="57"/>
    </row>
    <row r="34" spans="1:19" x14ac:dyDescent="0.25">
      <c r="A34" s="40"/>
      <c r="B34" s="40"/>
      <c r="C34" s="40"/>
      <c r="D34" s="794"/>
      <c r="E34" s="795"/>
      <c r="F34" s="796"/>
      <c r="G34" s="58"/>
      <c r="H34" s="56"/>
      <c r="I34" s="57">
        <f t="shared" si="21"/>
        <v>0</v>
      </c>
      <c r="J34" s="57"/>
      <c r="K34" s="57"/>
      <c r="L34" s="57"/>
      <c r="M34" s="57"/>
      <c r="N34" s="57"/>
      <c r="O34" s="57"/>
      <c r="P34" s="57"/>
      <c r="Q34" s="57"/>
      <c r="R34" s="57"/>
      <c r="S34" s="57"/>
    </row>
    <row r="35" spans="1:19" x14ac:dyDescent="0.25">
      <c r="A35" s="40"/>
      <c r="B35" s="40"/>
      <c r="C35" s="60"/>
      <c r="D35" s="794"/>
      <c r="E35" s="795"/>
      <c r="F35" s="796"/>
      <c r="G35" s="58"/>
      <c r="H35" s="63"/>
      <c r="I35" s="57">
        <f t="shared" si="21"/>
        <v>0</v>
      </c>
      <c r="J35" s="57"/>
      <c r="K35" s="57"/>
      <c r="L35" s="57"/>
      <c r="M35" s="57"/>
      <c r="N35" s="57"/>
      <c r="O35" s="57"/>
      <c r="P35" s="57"/>
      <c r="Q35" s="57"/>
      <c r="R35" s="57"/>
      <c r="S35" s="57"/>
    </row>
    <row r="36" spans="1:19" x14ac:dyDescent="0.25">
      <c r="A36" s="40"/>
      <c r="B36" s="40"/>
      <c r="C36" s="60"/>
      <c r="D36" s="794"/>
      <c r="E36" s="795"/>
      <c r="F36" s="796"/>
      <c r="G36" s="58"/>
      <c r="H36" s="63"/>
      <c r="I36" s="57">
        <f t="shared" si="21"/>
        <v>0</v>
      </c>
      <c r="J36" s="57"/>
      <c r="K36" s="57"/>
      <c r="L36" s="57"/>
      <c r="M36" s="57"/>
      <c r="N36" s="57"/>
      <c r="O36" s="57"/>
      <c r="P36" s="57"/>
      <c r="Q36" s="57"/>
      <c r="R36" s="57"/>
      <c r="S36" s="57"/>
    </row>
    <row r="37" spans="1:19" x14ac:dyDescent="0.25">
      <c r="A37" s="40"/>
      <c r="B37" s="40"/>
      <c r="C37" s="60"/>
      <c r="D37" s="794"/>
      <c r="E37" s="795"/>
      <c r="F37" s="796"/>
      <c r="G37" s="58"/>
      <c r="H37" s="63"/>
      <c r="I37" s="57">
        <f t="shared" si="21"/>
        <v>0</v>
      </c>
      <c r="J37" s="57"/>
      <c r="K37" s="57"/>
      <c r="L37" s="57"/>
      <c r="M37" s="57"/>
      <c r="N37" s="57"/>
      <c r="O37" s="57"/>
      <c r="P37" s="57"/>
      <c r="Q37" s="57"/>
      <c r="R37" s="57"/>
      <c r="S37" s="57"/>
    </row>
    <row r="38" spans="1:19" x14ac:dyDescent="0.25">
      <c r="A38" s="40"/>
      <c r="B38" s="40"/>
      <c r="C38" s="40"/>
      <c r="D38" s="794"/>
      <c r="E38" s="795"/>
      <c r="F38" s="796"/>
      <c r="G38" s="58"/>
      <c r="H38" s="63"/>
      <c r="I38" s="57">
        <f t="shared" si="21"/>
        <v>0</v>
      </c>
      <c r="J38" s="57"/>
      <c r="K38" s="57"/>
      <c r="L38" s="57"/>
      <c r="M38" s="57"/>
      <c r="N38" s="57"/>
      <c r="O38" s="57"/>
      <c r="P38" s="57"/>
      <c r="Q38" s="57"/>
      <c r="R38" s="57"/>
      <c r="S38" s="57"/>
    </row>
    <row r="39" spans="1:19" x14ac:dyDescent="0.25">
      <c r="A39" s="66"/>
      <c r="B39" s="40"/>
      <c r="C39" s="40"/>
      <c r="D39" s="794"/>
      <c r="E39" s="795"/>
      <c r="F39" s="796"/>
      <c r="G39" s="68"/>
      <c r="H39" s="69"/>
      <c r="I39" s="70"/>
      <c r="J39" s="70"/>
      <c r="K39" s="70"/>
      <c r="L39" s="70"/>
      <c r="M39" s="70"/>
      <c r="N39" s="70"/>
      <c r="O39" s="70"/>
      <c r="P39" s="70"/>
      <c r="Q39" s="70"/>
      <c r="R39" s="70"/>
      <c r="S39" s="70"/>
    </row>
    <row r="40" spans="1:19" x14ac:dyDescent="0.25">
      <c r="A40" s="66"/>
      <c r="B40" s="66"/>
      <c r="C40" s="66"/>
      <c r="D40" s="794"/>
      <c r="E40" s="795"/>
      <c r="F40" s="796"/>
      <c r="G40" s="72"/>
      <c r="H40" s="74"/>
      <c r="I40" s="75"/>
      <c r="J40" s="75"/>
      <c r="K40" s="75"/>
      <c r="L40" s="75"/>
      <c r="M40" s="75"/>
      <c r="N40" s="75"/>
      <c r="O40" s="75"/>
      <c r="P40" s="75"/>
      <c r="Q40" s="75"/>
      <c r="R40" s="75"/>
      <c r="S40" s="75"/>
    </row>
    <row r="41" spans="1:19" x14ac:dyDescent="0.25">
      <c r="G41" s="108">
        <f>SUM(G29:G40)</f>
        <v>0</v>
      </c>
      <c r="H41" s="109">
        <f t="shared" ref="H41:S41" si="22">SUM(H29:H34)</f>
        <v>0</v>
      </c>
      <c r="I41" s="108">
        <f t="shared" si="22"/>
        <v>0</v>
      </c>
      <c r="J41" s="108">
        <f t="shared" si="22"/>
        <v>0</v>
      </c>
      <c r="K41" s="108">
        <f t="shared" si="22"/>
        <v>0</v>
      </c>
      <c r="L41" s="108">
        <f t="shared" si="22"/>
        <v>0</v>
      </c>
      <c r="M41" s="108">
        <f t="shared" si="22"/>
        <v>0</v>
      </c>
      <c r="N41" s="108">
        <f t="shared" si="22"/>
        <v>0</v>
      </c>
      <c r="O41" s="108">
        <f t="shared" si="22"/>
        <v>0</v>
      </c>
      <c r="P41" s="108">
        <f t="shared" si="22"/>
        <v>0</v>
      </c>
      <c r="Q41" s="108">
        <f t="shared" si="22"/>
        <v>0</v>
      </c>
      <c r="R41" s="108">
        <f t="shared" si="22"/>
        <v>0</v>
      </c>
      <c r="S41" s="108">
        <f t="shared" si="22"/>
        <v>0</v>
      </c>
    </row>
  </sheetData>
  <mergeCells count="21">
    <mergeCell ref="D40:F40"/>
    <mergeCell ref="D38:F38"/>
    <mergeCell ref="D33:F33"/>
    <mergeCell ref="D35:F35"/>
    <mergeCell ref="D34:F34"/>
    <mergeCell ref="D37:F37"/>
    <mergeCell ref="D36:F36"/>
    <mergeCell ref="D39:F39"/>
    <mergeCell ref="D32:F32"/>
    <mergeCell ref="D29:F29"/>
    <mergeCell ref="D28:F28"/>
    <mergeCell ref="D31:F31"/>
    <mergeCell ref="D30:F30"/>
    <mergeCell ref="N3:Q3"/>
    <mergeCell ref="R3:S3"/>
    <mergeCell ref="J3:M3"/>
    <mergeCell ref="H3:I3"/>
    <mergeCell ref="J27:M27"/>
    <mergeCell ref="N27:Q27"/>
    <mergeCell ref="R27:S27"/>
    <mergeCell ref="H27:I27"/>
  </mergeCells>
  <pageMargins left="0.7" right="0.7" top="0.75" bottom="0.75" header="0" footer="0"/>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T41"/>
  <sheetViews>
    <sheetView showGridLines="0" workbookViewId="0"/>
  </sheetViews>
  <sheetFormatPr defaultColWidth="14.42578125" defaultRowHeight="15" customHeight="1" outlineLevelRow="1" x14ac:dyDescent="0.25"/>
  <cols>
    <col min="1" max="1" width="17.42578125" customWidth="1"/>
    <col min="2" max="2" width="29.140625" customWidth="1"/>
    <col min="3" max="3" width="20.85546875" customWidth="1"/>
    <col min="4" max="4" width="20.7109375" customWidth="1"/>
    <col min="5" max="6" width="17.140625" customWidth="1"/>
    <col min="7" max="7" width="17.28515625" customWidth="1"/>
    <col min="8" max="19" width="9.85546875" customWidth="1"/>
    <col min="20" max="20" width="7.85546875" customWidth="1"/>
    <col min="21" max="27" width="15.85546875" customWidth="1"/>
  </cols>
  <sheetData>
    <row r="1" spans="1:20" ht="23.25" x14ac:dyDescent="0.35">
      <c r="A1" s="1" t="s">
        <v>2</v>
      </c>
    </row>
    <row r="2" spans="1:20" x14ac:dyDescent="0.25">
      <c r="I2" s="5"/>
      <c r="J2" s="6"/>
      <c r="K2" s="5"/>
      <c r="L2" s="5"/>
      <c r="M2" s="5"/>
      <c r="N2" s="6"/>
      <c r="O2" s="5"/>
      <c r="P2" s="5"/>
      <c r="Q2" s="5"/>
      <c r="R2" s="6"/>
      <c r="S2" s="5"/>
      <c r="T2" s="5"/>
    </row>
    <row r="3" spans="1:20" ht="18.75" x14ac:dyDescent="0.3">
      <c r="A3" s="7" t="s">
        <v>4</v>
      </c>
      <c r="H3" s="790">
        <v>2019</v>
      </c>
      <c r="I3" s="789"/>
      <c r="J3" s="787">
        <v>2020</v>
      </c>
      <c r="K3" s="788"/>
      <c r="L3" s="788"/>
      <c r="M3" s="789"/>
      <c r="N3" s="787">
        <v>2021</v>
      </c>
      <c r="O3" s="788"/>
      <c r="P3" s="788"/>
      <c r="Q3" s="789"/>
      <c r="R3" s="790">
        <v>2022</v>
      </c>
      <c r="S3" s="789"/>
      <c r="T3" s="5"/>
    </row>
    <row r="4" spans="1:20" hidden="1" outlineLevel="1" x14ac:dyDescent="0.25">
      <c r="A4" s="8"/>
      <c r="B4" s="8"/>
      <c r="C4" s="8"/>
      <c r="D4" s="11"/>
      <c r="E4" s="8"/>
      <c r="F4" s="8"/>
      <c r="G4" s="11"/>
      <c r="H4" s="13">
        <v>43647</v>
      </c>
      <c r="I4" s="13">
        <v>43739</v>
      </c>
      <c r="J4" s="13">
        <v>43831</v>
      </c>
      <c r="K4" s="13">
        <v>43922</v>
      </c>
      <c r="L4" s="13">
        <v>44013</v>
      </c>
      <c r="M4" s="13">
        <v>44105</v>
      </c>
      <c r="N4" s="13">
        <v>44197</v>
      </c>
      <c r="O4" s="13">
        <v>44287</v>
      </c>
      <c r="P4" s="13">
        <v>44378</v>
      </c>
      <c r="Q4" s="13">
        <v>44470</v>
      </c>
      <c r="R4" s="13">
        <v>44562</v>
      </c>
      <c r="S4" s="13">
        <v>44652</v>
      </c>
      <c r="T4" s="5"/>
    </row>
    <row r="5" spans="1:20" ht="30" collapsed="1" x14ac:dyDescent="0.25">
      <c r="A5" s="15" t="s">
        <v>8</v>
      </c>
      <c r="B5" s="15" t="s">
        <v>11</v>
      </c>
      <c r="C5" s="15" t="s">
        <v>12</v>
      </c>
      <c r="D5" s="16" t="s">
        <v>13</v>
      </c>
      <c r="E5" s="17" t="s">
        <v>14</v>
      </c>
      <c r="F5" s="17" t="s">
        <v>15</v>
      </c>
      <c r="G5" s="16" t="s">
        <v>16</v>
      </c>
      <c r="H5" s="19" t="s">
        <v>10</v>
      </c>
      <c r="I5" s="21" t="s">
        <v>17</v>
      </c>
      <c r="J5" s="23" t="s">
        <v>18</v>
      </c>
      <c r="K5" s="25" t="s">
        <v>19</v>
      </c>
      <c r="L5" s="25" t="s">
        <v>10</v>
      </c>
      <c r="M5" s="21" t="s">
        <v>17</v>
      </c>
      <c r="N5" s="23" t="s">
        <v>18</v>
      </c>
      <c r="O5" s="25" t="s">
        <v>19</v>
      </c>
      <c r="P5" s="25" t="s">
        <v>10</v>
      </c>
      <c r="Q5" s="21" t="s">
        <v>17</v>
      </c>
      <c r="R5" s="23" t="s">
        <v>18</v>
      </c>
      <c r="S5" s="25" t="s">
        <v>19</v>
      </c>
      <c r="T5" s="5"/>
    </row>
    <row r="6" spans="1:20" x14ac:dyDescent="0.25">
      <c r="A6" s="27"/>
      <c r="B6" s="27"/>
      <c r="C6" s="30"/>
      <c r="D6" s="27"/>
      <c r="E6" s="37"/>
      <c r="F6" s="27"/>
      <c r="G6" s="39"/>
      <c r="H6" s="31">
        <f t="shared" ref="H6:R6" si="0">IF($E6&lt;I$4,($G6*1.3)/4,0)</f>
        <v>0</v>
      </c>
      <c r="I6" s="33">
        <f t="shared" si="0"/>
        <v>0</v>
      </c>
      <c r="J6" s="33">
        <f t="shared" si="0"/>
        <v>0</v>
      </c>
      <c r="K6" s="33">
        <f t="shared" si="0"/>
        <v>0</v>
      </c>
      <c r="L6" s="33">
        <f t="shared" si="0"/>
        <v>0</v>
      </c>
      <c r="M6" s="33">
        <f t="shared" si="0"/>
        <v>0</v>
      </c>
      <c r="N6" s="33">
        <f t="shared" si="0"/>
        <v>0</v>
      </c>
      <c r="O6" s="33">
        <f t="shared" si="0"/>
        <v>0</v>
      </c>
      <c r="P6" s="33">
        <f t="shared" si="0"/>
        <v>0</v>
      </c>
      <c r="Q6" s="33">
        <f t="shared" si="0"/>
        <v>0</v>
      </c>
      <c r="R6" s="33">
        <f t="shared" si="0"/>
        <v>0</v>
      </c>
      <c r="S6" s="33">
        <f t="shared" ref="S6:S24" si="1">IF($E6&lt;S$4,($G6*1.3)/4,0)</f>
        <v>0</v>
      </c>
      <c r="T6" s="5"/>
    </row>
    <row r="7" spans="1:20" x14ac:dyDescent="0.25">
      <c r="A7" s="40"/>
      <c r="B7" s="40" t="s">
        <v>123</v>
      </c>
      <c r="C7" s="35"/>
      <c r="D7" s="40"/>
      <c r="E7" s="42"/>
      <c r="F7" s="43"/>
      <c r="G7" s="44"/>
      <c r="H7" s="31">
        <f t="shared" ref="H7:R7" si="2">IF($E7&lt;I$4,($G7*1.3)/4,0)</f>
        <v>0</v>
      </c>
      <c r="I7" s="33">
        <f t="shared" si="2"/>
        <v>0</v>
      </c>
      <c r="J7" s="33">
        <f t="shared" si="2"/>
        <v>0</v>
      </c>
      <c r="K7" s="33">
        <f t="shared" si="2"/>
        <v>0</v>
      </c>
      <c r="L7" s="33">
        <f t="shared" si="2"/>
        <v>0</v>
      </c>
      <c r="M7" s="33">
        <f t="shared" si="2"/>
        <v>0</v>
      </c>
      <c r="N7" s="33">
        <f t="shared" si="2"/>
        <v>0</v>
      </c>
      <c r="O7" s="33">
        <f t="shared" si="2"/>
        <v>0</v>
      </c>
      <c r="P7" s="33">
        <f t="shared" si="2"/>
        <v>0</v>
      </c>
      <c r="Q7" s="33">
        <f t="shared" si="2"/>
        <v>0</v>
      </c>
      <c r="R7" s="33">
        <f t="shared" si="2"/>
        <v>0</v>
      </c>
      <c r="S7" s="33">
        <f t="shared" si="1"/>
        <v>0</v>
      </c>
      <c r="T7" s="5"/>
    </row>
    <row r="8" spans="1:20" x14ac:dyDescent="0.25">
      <c r="A8" s="40"/>
      <c r="B8" s="40"/>
      <c r="C8" s="35"/>
      <c r="D8" s="40"/>
      <c r="E8" s="42"/>
      <c r="F8" s="43"/>
      <c r="G8" s="44"/>
      <c r="H8" s="31">
        <f t="shared" ref="H8:R8" si="3">IF($E8&lt;I$4,($G8*1.3)/4,0)</f>
        <v>0</v>
      </c>
      <c r="I8" s="33">
        <f t="shared" si="3"/>
        <v>0</v>
      </c>
      <c r="J8" s="33">
        <f t="shared" si="3"/>
        <v>0</v>
      </c>
      <c r="K8" s="33">
        <f t="shared" si="3"/>
        <v>0</v>
      </c>
      <c r="L8" s="33">
        <f t="shared" si="3"/>
        <v>0</v>
      </c>
      <c r="M8" s="33">
        <f t="shared" si="3"/>
        <v>0</v>
      </c>
      <c r="N8" s="33">
        <f t="shared" si="3"/>
        <v>0</v>
      </c>
      <c r="O8" s="33">
        <f t="shared" si="3"/>
        <v>0</v>
      </c>
      <c r="P8" s="33">
        <f t="shared" si="3"/>
        <v>0</v>
      </c>
      <c r="Q8" s="33">
        <f t="shared" si="3"/>
        <v>0</v>
      </c>
      <c r="R8" s="33">
        <f t="shared" si="3"/>
        <v>0</v>
      </c>
      <c r="S8" s="33">
        <f t="shared" si="1"/>
        <v>0</v>
      </c>
      <c r="T8" s="5"/>
    </row>
    <row r="9" spans="1:20" x14ac:dyDescent="0.25">
      <c r="A9" s="40"/>
      <c r="B9" s="40"/>
      <c r="C9" s="35"/>
      <c r="D9" s="40"/>
      <c r="E9" s="42"/>
      <c r="F9" s="43"/>
      <c r="G9" s="44"/>
      <c r="H9" s="31">
        <f t="shared" ref="H9:R9" si="4">IF($E9&lt;I$4,($G9*1.3)/4,0)</f>
        <v>0</v>
      </c>
      <c r="I9" s="33">
        <f t="shared" si="4"/>
        <v>0</v>
      </c>
      <c r="J9" s="33">
        <f t="shared" si="4"/>
        <v>0</v>
      </c>
      <c r="K9" s="33">
        <f t="shared" si="4"/>
        <v>0</v>
      </c>
      <c r="L9" s="33">
        <f t="shared" si="4"/>
        <v>0</v>
      </c>
      <c r="M9" s="33">
        <f t="shared" si="4"/>
        <v>0</v>
      </c>
      <c r="N9" s="33">
        <f t="shared" si="4"/>
        <v>0</v>
      </c>
      <c r="O9" s="33">
        <f t="shared" si="4"/>
        <v>0</v>
      </c>
      <c r="P9" s="33">
        <f t="shared" si="4"/>
        <v>0</v>
      </c>
      <c r="Q9" s="33">
        <f t="shared" si="4"/>
        <v>0</v>
      </c>
      <c r="R9" s="33">
        <f t="shared" si="4"/>
        <v>0</v>
      </c>
      <c r="S9" s="33">
        <f t="shared" si="1"/>
        <v>0</v>
      </c>
      <c r="T9" s="5"/>
    </row>
    <row r="10" spans="1:20" x14ac:dyDescent="0.25">
      <c r="A10" s="40"/>
      <c r="B10" s="40"/>
      <c r="C10" s="35"/>
      <c r="D10" s="40"/>
      <c r="E10" s="42"/>
      <c r="F10" s="43"/>
      <c r="G10" s="44"/>
      <c r="H10" s="31">
        <f t="shared" ref="H10:R10" si="5">IF($E10&lt;I$4,($G10*1.3)/4,0)</f>
        <v>0</v>
      </c>
      <c r="I10" s="33">
        <f t="shared" si="5"/>
        <v>0</v>
      </c>
      <c r="J10" s="33">
        <f t="shared" si="5"/>
        <v>0</v>
      </c>
      <c r="K10" s="33">
        <f t="shared" si="5"/>
        <v>0</v>
      </c>
      <c r="L10" s="33">
        <f t="shared" si="5"/>
        <v>0</v>
      </c>
      <c r="M10" s="33">
        <f t="shared" si="5"/>
        <v>0</v>
      </c>
      <c r="N10" s="33">
        <f t="shared" si="5"/>
        <v>0</v>
      </c>
      <c r="O10" s="33">
        <f t="shared" si="5"/>
        <v>0</v>
      </c>
      <c r="P10" s="33">
        <f t="shared" si="5"/>
        <v>0</v>
      </c>
      <c r="Q10" s="33">
        <f t="shared" si="5"/>
        <v>0</v>
      </c>
      <c r="R10" s="33">
        <f t="shared" si="5"/>
        <v>0</v>
      </c>
      <c r="S10" s="33">
        <f t="shared" si="1"/>
        <v>0</v>
      </c>
      <c r="T10" s="5"/>
    </row>
    <row r="11" spans="1:20" x14ac:dyDescent="0.25">
      <c r="A11" s="40"/>
      <c r="B11" s="40"/>
      <c r="C11" s="35"/>
      <c r="D11" s="40"/>
      <c r="E11" s="42"/>
      <c r="F11" s="43"/>
      <c r="G11" s="44"/>
      <c r="H11" s="31">
        <f t="shared" ref="H11:R11" si="6">IF($E11&lt;I$4,($G11*1.3)/4,0)</f>
        <v>0</v>
      </c>
      <c r="I11" s="33">
        <f t="shared" si="6"/>
        <v>0</v>
      </c>
      <c r="J11" s="33">
        <f t="shared" si="6"/>
        <v>0</v>
      </c>
      <c r="K11" s="33">
        <f t="shared" si="6"/>
        <v>0</v>
      </c>
      <c r="L11" s="33">
        <f t="shared" si="6"/>
        <v>0</v>
      </c>
      <c r="M11" s="33">
        <f t="shared" si="6"/>
        <v>0</v>
      </c>
      <c r="N11" s="33">
        <f t="shared" si="6"/>
        <v>0</v>
      </c>
      <c r="O11" s="33">
        <f t="shared" si="6"/>
        <v>0</v>
      </c>
      <c r="P11" s="33">
        <f t="shared" si="6"/>
        <v>0</v>
      </c>
      <c r="Q11" s="33">
        <f t="shared" si="6"/>
        <v>0</v>
      </c>
      <c r="R11" s="33">
        <f t="shared" si="6"/>
        <v>0</v>
      </c>
      <c r="S11" s="33">
        <f t="shared" si="1"/>
        <v>0</v>
      </c>
      <c r="T11" s="5"/>
    </row>
    <row r="12" spans="1:20" x14ac:dyDescent="0.25">
      <c r="A12" s="40"/>
      <c r="B12" s="40"/>
      <c r="C12" s="35"/>
      <c r="D12" s="40"/>
      <c r="E12" s="42"/>
      <c r="F12" s="43"/>
      <c r="G12" s="44"/>
      <c r="H12" s="31">
        <f t="shared" ref="H12:R12" si="7">IF($E12&lt;I$4,($G12*1.3)/4,0)</f>
        <v>0</v>
      </c>
      <c r="I12" s="33">
        <f t="shared" si="7"/>
        <v>0</v>
      </c>
      <c r="J12" s="33">
        <f t="shared" si="7"/>
        <v>0</v>
      </c>
      <c r="K12" s="33">
        <f t="shared" si="7"/>
        <v>0</v>
      </c>
      <c r="L12" s="33">
        <f t="shared" si="7"/>
        <v>0</v>
      </c>
      <c r="M12" s="33">
        <f t="shared" si="7"/>
        <v>0</v>
      </c>
      <c r="N12" s="33">
        <f t="shared" si="7"/>
        <v>0</v>
      </c>
      <c r="O12" s="33">
        <f t="shared" si="7"/>
        <v>0</v>
      </c>
      <c r="P12" s="33">
        <f t="shared" si="7"/>
        <v>0</v>
      </c>
      <c r="Q12" s="33">
        <f t="shared" si="7"/>
        <v>0</v>
      </c>
      <c r="R12" s="33">
        <f t="shared" si="7"/>
        <v>0</v>
      </c>
      <c r="S12" s="33">
        <f t="shared" si="1"/>
        <v>0</v>
      </c>
      <c r="T12" s="5"/>
    </row>
    <row r="13" spans="1:20" x14ac:dyDescent="0.25">
      <c r="A13" s="40"/>
      <c r="B13" s="40"/>
      <c r="C13" s="35"/>
      <c r="D13" s="40"/>
      <c r="E13" s="42"/>
      <c r="F13" s="43"/>
      <c r="G13" s="44"/>
      <c r="H13" s="31">
        <f t="shared" ref="H13:R13" si="8">IF($E13&lt;I$4,($G13*1.3)/4,0)</f>
        <v>0</v>
      </c>
      <c r="I13" s="33">
        <f t="shared" si="8"/>
        <v>0</v>
      </c>
      <c r="J13" s="33">
        <f t="shared" si="8"/>
        <v>0</v>
      </c>
      <c r="K13" s="33">
        <f t="shared" si="8"/>
        <v>0</v>
      </c>
      <c r="L13" s="33">
        <f t="shared" si="8"/>
        <v>0</v>
      </c>
      <c r="M13" s="33">
        <f t="shared" si="8"/>
        <v>0</v>
      </c>
      <c r="N13" s="33">
        <f t="shared" si="8"/>
        <v>0</v>
      </c>
      <c r="O13" s="33">
        <f t="shared" si="8"/>
        <v>0</v>
      </c>
      <c r="P13" s="33">
        <f t="shared" si="8"/>
        <v>0</v>
      </c>
      <c r="Q13" s="33">
        <f t="shared" si="8"/>
        <v>0</v>
      </c>
      <c r="R13" s="33">
        <f t="shared" si="8"/>
        <v>0</v>
      </c>
      <c r="S13" s="33">
        <f t="shared" si="1"/>
        <v>0</v>
      </c>
      <c r="T13" s="5"/>
    </row>
    <row r="14" spans="1:20" x14ac:dyDescent="0.25">
      <c r="A14" s="40"/>
      <c r="B14" s="40"/>
      <c r="C14" s="35"/>
      <c r="D14" s="40"/>
      <c r="E14" s="42"/>
      <c r="F14" s="43"/>
      <c r="G14" s="44"/>
      <c r="H14" s="31">
        <f t="shared" ref="H14:R14" si="9">IF($E14&lt;I$4,($G14*1.3)/4,0)</f>
        <v>0</v>
      </c>
      <c r="I14" s="33">
        <f t="shared" si="9"/>
        <v>0</v>
      </c>
      <c r="J14" s="33">
        <f t="shared" si="9"/>
        <v>0</v>
      </c>
      <c r="K14" s="33">
        <f t="shared" si="9"/>
        <v>0</v>
      </c>
      <c r="L14" s="33">
        <f t="shared" si="9"/>
        <v>0</v>
      </c>
      <c r="M14" s="33">
        <f t="shared" si="9"/>
        <v>0</v>
      </c>
      <c r="N14" s="33">
        <f t="shared" si="9"/>
        <v>0</v>
      </c>
      <c r="O14" s="33">
        <f t="shared" si="9"/>
        <v>0</v>
      </c>
      <c r="P14" s="33">
        <f t="shared" si="9"/>
        <v>0</v>
      </c>
      <c r="Q14" s="33">
        <f t="shared" si="9"/>
        <v>0</v>
      </c>
      <c r="R14" s="33">
        <f t="shared" si="9"/>
        <v>0</v>
      </c>
      <c r="S14" s="33">
        <f t="shared" si="1"/>
        <v>0</v>
      </c>
      <c r="T14" s="5"/>
    </row>
    <row r="15" spans="1:20" x14ac:dyDescent="0.25">
      <c r="A15" s="40"/>
      <c r="B15" s="40"/>
      <c r="C15" s="35"/>
      <c r="D15" s="40"/>
      <c r="E15" s="42"/>
      <c r="F15" s="43"/>
      <c r="G15" s="44"/>
      <c r="H15" s="31">
        <f t="shared" ref="H15:R15" si="10">IF($E15&lt;I$4,($G15*1.3)/4,0)</f>
        <v>0</v>
      </c>
      <c r="I15" s="33">
        <f t="shared" si="10"/>
        <v>0</v>
      </c>
      <c r="J15" s="33">
        <f t="shared" si="10"/>
        <v>0</v>
      </c>
      <c r="K15" s="33">
        <f t="shared" si="10"/>
        <v>0</v>
      </c>
      <c r="L15" s="33">
        <f t="shared" si="10"/>
        <v>0</v>
      </c>
      <c r="M15" s="33">
        <f t="shared" si="10"/>
        <v>0</v>
      </c>
      <c r="N15" s="33">
        <f t="shared" si="10"/>
        <v>0</v>
      </c>
      <c r="O15" s="33">
        <f t="shared" si="10"/>
        <v>0</v>
      </c>
      <c r="P15" s="33">
        <f t="shared" si="10"/>
        <v>0</v>
      </c>
      <c r="Q15" s="33">
        <f t="shared" si="10"/>
        <v>0</v>
      </c>
      <c r="R15" s="33">
        <f t="shared" si="10"/>
        <v>0</v>
      </c>
      <c r="S15" s="33">
        <f t="shared" si="1"/>
        <v>0</v>
      </c>
      <c r="T15" s="5"/>
    </row>
    <row r="16" spans="1:20" x14ac:dyDescent="0.25">
      <c r="A16" s="40"/>
      <c r="B16" s="40"/>
      <c r="C16" s="35"/>
      <c r="D16" s="40"/>
      <c r="E16" s="42"/>
      <c r="F16" s="43"/>
      <c r="G16" s="44"/>
      <c r="H16" s="31">
        <f t="shared" ref="H16:R16" si="11">IF($E16&lt;I$4,($G16*1.3)/4,0)</f>
        <v>0</v>
      </c>
      <c r="I16" s="33">
        <f t="shared" si="11"/>
        <v>0</v>
      </c>
      <c r="J16" s="33">
        <f t="shared" si="11"/>
        <v>0</v>
      </c>
      <c r="K16" s="33">
        <f t="shared" si="11"/>
        <v>0</v>
      </c>
      <c r="L16" s="33">
        <f t="shared" si="11"/>
        <v>0</v>
      </c>
      <c r="M16" s="33">
        <f t="shared" si="11"/>
        <v>0</v>
      </c>
      <c r="N16" s="33">
        <f t="shared" si="11"/>
        <v>0</v>
      </c>
      <c r="O16" s="33">
        <f t="shared" si="11"/>
        <v>0</v>
      </c>
      <c r="P16" s="33">
        <f t="shared" si="11"/>
        <v>0</v>
      </c>
      <c r="Q16" s="33">
        <f t="shared" si="11"/>
        <v>0</v>
      </c>
      <c r="R16" s="33">
        <f t="shared" si="11"/>
        <v>0</v>
      </c>
      <c r="S16" s="33">
        <f t="shared" si="1"/>
        <v>0</v>
      </c>
      <c r="T16" s="5"/>
    </row>
    <row r="17" spans="1:20" x14ac:dyDescent="0.25">
      <c r="A17" s="40"/>
      <c r="B17" s="40"/>
      <c r="C17" s="35"/>
      <c r="D17" s="40"/>
      <c r="E17" s="40"/>
      <c r="F17" s="43"/>
      <c r="G17" s="44"/>
      <c r="H17" s="31">
        <f t="shared" ref="H17:R17" si="12">IF($E17&lt;I$4,($G17*1.3)/4,0)</f>
        <v>0</v>
      </c>
      <c r="I17" s="33">
        <f t="shared" si="12"/>
        <v>0</v>
      </c>
      <c r="J17" s="33">
        <f t="shared" si="12"/>
        <v>0</v>
      </c>
      <c r="K17" s="33">
        <f t="shared" si="12"/>
        <v>0</v>
      </c>
      <c r="L17" s="33">
        <f t="shared" si="12"/>
        <v>0</v>
      </c>
      <c r="M17" s="33">
        <f t="shared" si="12"/>
        <v>0</v>
      </c>
      <c r="N17" s="33">
        <f t="shared" si="12"/>
        <v>0</v>
      </c>
      <c r="O17" s="33">
        <f t="shared" si="12"/>
        <v>0</v>
      </c>
      <c r="P17" s="33">
        <f t="shared" si="12"/>
        <v>0</v>
      </c>
      <c r="Q17" s="33">
        <f t="shared" si="12"/>
        <v>0</v>
      </c>
      <c r="R17" s="33">
        <f t="shared" si="12"/>
        <v>0</v>
      </c>
      <c r="S17" s="33">
        <f t="shared" si="1"/>
        <v>0</v>
      </c>
      <c r="T17" s="5"/>
    </row>
    <row r="18" spans="1:20" x14ac:dyDescent="0.25">
      <c r="A18" s="40"/>
      <c r="B18" s="40"/>
      <c r="C18" s="35"/>
      <c r="D18" s="40"/>
      <c r="E18" s="40"/>
      <c r="F18" s="43"/>
      <c r="G18" s="44"/>
      <c r="H18" s="31">
        <f t="shared" ref="H18:R18" si="13">IF($E18&lt;I$4,($G18*1.3)/4,0)</f>
        <v>0</v>
      </c>
      <c r="I18" s="33">
        <f t="shared" si="13"/>
        <v>0</v>
      </c>
      <c r="J18" s="33">
        <f t="shared" si="13"/>
        <v>0</v>
      </c>
      <c r="K18" s="33">
        <f t="shared" si="13"/>
        <v>0</v>
      </c>
      <c r="L18" s="33">
        <f t="shared" si="13"/>
        <v>0</v>
      </c>
      <c r="M18" s="33">
        <f t="shared" si="13"/>
        <v>0</v>
      </c>
      <c r="N18" s="33">
        <f t="shared" si="13"/>
        <v>0</v>
      </c>
      <c r="O18" s="33">
        <f t="shared" si="13"/>
        <v>0</v>
      </c>
      <c r="P18" s="33">
        <f t="shared" si="13"/>
        <v>0</v>
      </c>
      <c r="Q18" s="33">
        <f t="shared" si="13"/>
        <v>0</v>
      </c>
      <c r="R18" s="33">
        <f t="shared" si="13"/>
        <v>0</v>
      </c>
      <c r="S18" s="33">
        <f t="shared" si="1"/>
        <v>0</v>
      </c>
      <c r="T18" s="5"/>
    </row>
    <row r="19" spans="1:20" x14ac:dyDescent="0.25">
      <c r="A19" s="40"/>
      <c r="B19" s="40"/>
      <c r="C19" s="35"/>
      <c r="D19" s="40"/>
      <c r="E19" s="40"/>
      <c r="F19" s="43"/>
      <c r="G19" s="44"/>
      <c r="H19" s="31">
        <f t="shared" ref="H19:R19" si="14">IF($E19&lt;I$4,($G19*1.3)/4,0)</f>
        <v>0</v>
      </c>
      <c r="I19" s="33">
        <f t="shared" si="14"/>
        <v>0</v>
      </c>
      <c r="J19" s="33">
        <f t="shared" si="14"/>
        <v>0</v>
      </c>
      <c r="K19" s="33">
        <f t="shared" si="14"/>
        <v>0</v>
      </c>
      <c r="L19" s="33">
        <f t="shared" si="14"/>
        <v>0</v>
      </c>
      <c r="M19" s="33">
        <f t="shared" si="14"/>
        <v>0</v>
      </c>
      <c r="N19" s="33">
        <f t="shared" si="14"/>
        <v>0</v>
      </c>
      <c r="O19" s="33">
        <f t="shared" si="14"/>
        <v>0</v>
      </c>
      <c r="P19" s="33">
        <f t="shared" si="14"/>
        <v>0</v>
      </c>
      <c r="Q19" s="33">
        <f t="shared" si="14"/>
        <v>0</v>
      </c>
      <c r="R19" s="33">
        <f t="shared" si="14"/>
        <v>0</v>
      </c>
      <c r="S19" s="33">
        <f t="shared" si="1"/>
        <v>0</v>
      </c>
      <c r="T19" s="5"/>
    </row>
    <row r="20" spans="1:20" x14ac:dyDescent="0.25">
      <c r="A20" s="40"/>
      <c r="B20" s="40"/>
      <c r="C20" s="35"/>
      <c r="D20" s="40"/>
      <c r="E20" s="43"/>
      <c r="F20" s="43"/>
      <c r="G20" s="44"/>
      <c r="H20" s="31">
        <f t="shared" ref="H20:R20" si="15">IF($E20&lt;I$4,($G20*1.3)/4,0)</f>
        <v>0</v>
      </c>
      <c r="I20" s="33">
        <f t="shared" si="15"/>
        <v>0</v>
      </c>
      <c r="J20" s="33">
        <f t="shared" si="15"/>
        <v>0</v>
      </c>
      <c r="K20" s="33">
        <f t="shared" si="15"/>
        <v>0</v>
      </c>
      <c r="L20" s="33">
        <f t="shared" si="15"/>
        <v>0</v>
      </c>
      <c r="M20" s="33">
        <f t="shared" si="15"/>
        <v>0</v>
      </c>
      <c r="N20" s="33">
        <f t="shared" si="15"/>
        <v>0</v>
      </c>
      <c r="O20" s="33">
        <f t="shared" si="15"/>
        <v>0</v>
      </c>
      <c r="P20" s="33">
        <f t="shared" si="15"/>
        <v>0</v>
      </c>
      <c r="Q20" s="33">
        <f t="shared" si="15"/>
        <v>0</v>
      </c>
      <c r="R20" s="33">
        <f t="shared" si="15"/>
        <v>0</v>
      </c>
      <c r="S20" s="33">
        <f t="shared" si="1"/>
        <v>0</v>
      </c>
      <c r="T20" s="5"/>
    </row>
    <row r="21" spans="1:20" x14ac:dyDescent="0.25">
      <c r="A21" s="40"/>
      <c r="B21" s="40"/>
      <c r="C21" s="35"/>
      <c r="D21" s="40"/>
      <c r="E21" s="43"/>
      <c r="F21" s="43"/>
      <c r="G21" s="44"/>
      <c r="H21" s="31">
        <f t="shared" ref="H21:R21" si="16">IF($E21&lt;I$4,($G21*1.3)/4,0)</f>
        <v>0</v>
      </c>
      <c r="I21" s="33">
        <f t="shared" si="16"/>
        <v>0</v>
      </c>
      <c r="J21" s="33">
        <f t="shared" si="16"/>
        <v>0</v>
      </c>
      <c r="K21" s="33">
        <f t="shared" si="16"/>
        <v>0</v>
      </c>
      <c r="L21" s="33">
        <f t="shared" si="16"/>
        <v>0</v>
      </c>
      <c r="M21" s="33">
        <f t="shared" si="16"/>
        <v>0</v>
      </c>
      <c r="N21" s="33">
        <f t="shared" si="16"/>
        <v>0</v>
      </c>
      <c r="O21" s="33">
        <f t="shared" si="16"/>
        <v>0</v>
      </c>
      <c r="P21" s="33">
        <f t="shared" si="16"/>
        <v>0</v>
      </c>
      <c r="Q21" s="33">
        <f t="shared" si="16"/>
        <v>0</v>
      </c>
      <c r="R21" s="33">
        <f t="shared" si="16"/>
        <v>0</v>
      </c>
      <c r="S21" s="33">
        <f t="shared" si="1"/>
        <v>0</v>
      </c>
      <c r="T21" s="5"/>
    </row>
    <row r="22" spans="1:20" x14ac:dyDescent="0.25">
      <c r="A22" s="66"/>
      <c r="B22" s="66"/>
      <c r="C22" s="76"/>
      <c r="D22" s="77"/>
      <c r="E22" s="66"/>
      <c r="F22" s="66"/>
      <c r="G22" s="79"/>
      <c r="H22" s="31">
        <f t="shared" ref="H22:R22" si="17">IF($E22&lt;I$4,($G22*1.3)/4,0)</f>
        <v>0</v>
      </c>
      <c r="I22" s="33">
        <f t="shared" si="17"/>
        <v>0</v>
      </c>
      <c r="J22" s="33">
        <f t="shared" si="17"/>
        <v>0</v>
      </c>
      <c r="K22" s="33">
        <f t="shared" si="17"/>
        <v>0</v>
      </c>
      <c r="L22" s="33">
        <f t="shared" si="17"/>
        <v>0</v>
      </c>
      <c r="M22" s="33">
        <f t="shared" si="17"/>
        <v>0</v>
      </c>
      <c r="N22" s="33">
        <f t="shared" si="17"/>
        <v>0</v>
      </c>
      <c r="O22" s="33">
        <f t="shared" si="17"/>
        <v>0</v>
      </c>
      <c r="P22" s="33">
        <f t="shared" si="17"/>
        <v>0</v>
      </c>
      <c r="Q22" s="33">
        <f t="shared" si="17"/>
        <v>0</v>
      </c>
      <c r="R22" s="33">
        <f t="shared" si="17"/>
        <v>0</v>
      </c>
      <c r="S22" s="33">
        <f t="shared" si="1"/>
        <v>0</v>
      </c>
      <c r="T22" s="5"/>
    </row>
    <row r="23" spans="1:20" x14ac:dyDescent="0.25">
      <c r="A23" s="66"/>
      <c r="B23" s="66"/>
      <c r="C23" s="76"/>
      <c r="D23" s="77"/>
      <c r="E23" s="66"/>
      <c r="F23" s="66"/>
      <c r="G23" s="79"/>
      <c r="H23" s="31">
        <f t="shared" ref="H23:R23" si="18">IF($E23&lt;I$4,($G23*1.3)/4,0)</f>
        <v>0</v>
      </c>
      <c r="I23" s="33">
        <f t="shared" si="18"/>
        <v>0</v>
      </c>
      <c r="J23" s="33">
        <f t="shared" si="18"/>
        <v>0</v>
      </c>
      <c r="K23" s="33">
        <f t="shared" si="18"/>
        <v>0</v>
      </c>
      <c r="L23" s="33">
        <f t="shared" si="18"/>
        <v>0</v>
      </c>
      <c r="M23" s="33">
        <f t="shared" si="18"/>
        <v>0</v>
      </c>
      <c r="N23" s="33">
        <f t="shared" si="18"/>
        <v>0</v>
      </c>
      <c r="O23" s="33">
        <f t="shared" si="18"/>
        <v>0</v>
      </c>
      <c r="P23" s="33">
        <f t="shared" si="18"/>
        <v>0</v>
      </c>
      <c r="Q23" s="33">
        <f t="shared" si="18"/>
        <v>0</v>
      </c>
      <c r="R23" s="33">
        <f t="shared" si="18"/>
        <v>0</v>
      </c>
      <c r="S23" s="33">
        <f t="shared" si="1"/>
        <v>0</v>
      </c>
      <c r="T23" s="5"/>
    </row>
    <row r="24" spans="1:20" x14ac:dyDescent="0.25">
      <c r="A24" s="66"/>
      <c r="B24" s="66"/>
      <c r="C24" s="76"/>
      <c r="D24" s="77"/>
      <c r="E24" s="66"/>
      <c r="F24" s="66"/>
      <c r="G24" s="79"/>
      <c r="H24" s="31">
        <f t="shared" ref="H24:R24" si="19">IF($E24&lt;I$4,($G24*1.3)/4,0)</f>
        <v>0</v>
      </c>
      <c r="I24" s="33">
        <f t="shared" si="19"/>
        <v>0</v>
      </c>
      <c r="J24" s="33">
        <f t="shared" si="19"/>
        <v>0</v>
      </c>
      <c r="K24" s="33">
        <f t="shared" si="19"/>
        <v>0</v>
      </c>
      <c r="L24" s="33">
        <f t="shared" si="19"/>
        <v>0</v>
      </c>
      <c r="M24" s="33">
        <f t="shared" si="19"/>
        <v>0</v>
      </c>
      <c r="N24" s="33">
        <f t="shared" si="19"/>
        <v>0</v>
      </c>
      <c r="O24" s="33">
        <f t="shared" si="19"/>
        <v>0</v>
      </c>
      <c r="P24" s="33">
        <f t="shared" si="19"/>
        <v>0</v>
      </c>
      <c r="Q24" s="33">
        <f t="shared" si="19"/>
        <v>0</v>
      </c>
      <c r="R24" s="33">
        <f t="shared" si="19"/>
        <v>0</v>
      </c>
      <c r="S24" s="33">
        <f t="shared" si="1"/>
        <v>0</v>
      </c>
      <c r="T24" s="5"/>
    </row>
    <row r="25" spans="1:20" x14ac:dyDescent="0.25">
      <c r="A25" s="50"/>
      <c r="B25" s="50"/>
      <c r="C25" s="50"/>
      <c r="D25" s="50"/>
      <c r="E25" s="50"/>
      <c r="F25" s="50"/>
      <c r="G25" s="50"/>
      <c r="H25" s="81">
        <f t="shared" ref="H25:S25" si="20">SUM(H6:H24)</f>
        <v>0</v>
      </c>
      <c r="I25" s="82">
        <f t="shared" si="20"/>
        <v>0</v>
      </c>
      <c r="J25" s="82">
        <f t="shared" si="20"/>
        <v>0</v>
      </c>
      <c r="K25" s="82">
        <f t="shared" si="20"/>
        <v>0</v>
      </c>
      <c r="L25" s="82">
        <f t="shared" si="20"/>
        <v>0</v>
      </c>
      <c r="M25" s="82">
        <f t="shared" si="20"/>
        <v>0</v>
      </c>
      <c r="N25" s="82">
        <f t="shared" si="20"/>
        <v>0</v>
      </c>
      <c r="O25" s="82">
        <f t="shared" si="20"/>
        <v>0</v>
      </c>
      <c r="P25" s="82">
        <f t="shared" si="20"/>
        <v>0</v>
      </c>
      <c r="Q25" s="82">
        <f t="shared" si="20"/>
        <v>0</v>
      </c>
      <c r="R25" s="82">
        <f t="shared" si="20"/>
        <v>0</v>
      </c>
      <c r="S25" s="82">
        <f t="shared" si="20"/>
        <v>0</v>
      </c>
      <c r="T25" s="5"/>
    </row>
    <row r="26" spans="1:20" x14ac:dyDescent="0.25">
      <c r="B26" s="5"/>
      <c r="C26" s="5"/>
      <c r="D26" s="5"/>
      <c r="E26" s="5"/>
      <c r="F26" s="5"/>
      <c r="G26" s="5"/>
      <c r="H26" s="5"/>
      <c r="I26" s="5"/>
      <c r="J26" s="5"/>
      <c r="K26" s="5"/>
      <c r="L26" s="5"/>
      <c r="M26" s="5"/>
      <c r="N26" s="5"/>
      <c r="O26" s="5"/>
      <c r="P26" s="5"/>
      <c r="Q26" s="5"/>
      <c r="R26" s="5"/>
      <c r="S26" s="5"/>
    </row>
    <row r="27" spans="1:20" ht="18.75" x14ac:dyDescent="0.3">
      <c r="A27" s="7" t="s">
        <v>67</v>
      </c>
      <c r="B27" s="5"/>
      <c r="C27" s="5"/>
      <c r="D27" s="5"/>
      <c r="E27" s="5"/>
      <c r="F27" s="5"/>
      <c r="G27" s="5"/>
      <c r="H27" s="790">
        <v>2019</v>
      </c>
      <c r="I27" s="789"/>
      <c r="J27" s="787">
        <v>2020</v>
      </c>
      <c r="K27" s="788"/>
      <c r="L27" s="788"/>
      <c r="M27" s="789"/>
      <c r="N27" s="787">
        <v>2021</v>
      </c>
      <c r="O27" s="788"/>
      <c r="P27" s="788"/>
      <c r="Q27" s="789"/>
      <c r="R27" s="790">
        <v>2022</v>
      </c>
      <c r="S27" s="789"/>
    </row>
    <row r="28" spans="1:20" ht="30" x14ac:dyDescent="0.25">
      <c r="A28" s="54" t="s">
        <v>8</v>
      </c>
      <c r="B28" s="54" t="s">
        <v>11</v>
      </c>
      <c r="C28" s="54" t="s">
        <v>71</v>
      </c>
      <c r="D28" s="791" t="s">
        <v>72</v>
      </c>
      <c r="E28" s="792"/>
      <c r="F28" s="793"/>
      <c r="G28" s="55" t="s">
        <v>73</v>
      </c>
      <c r="H28" s="18" t="s">
        <v>10</v>
      </c>
      <c r="I28" s="20" t="s">
        <v>17</v>
      </c>
      <c r="J28" s="22" t="s">
        <v>18</v>
      </c>
      <c r="K28" s="18" t="s">
        <v>19</v>
      </c>
      <c r="L28" s="18" t="s">
        <v>10</v>
      </c>
      <c r="M28" s="20" t="s">
        <v>17</v>
      </c>
      <c r="N28" s="22" t="s">
        <v>18</v>
      </c>
      <c r="O28" s="18" t="s">
        <v>19</v>
      </c>
      <c r="P28" s="18" t="s">
        <v>10</v>
      </c>
      <c r="Q28" s="20" t="s">
        <v>17</v>
      </c>
      <c r="R28" s="22" t="s">
        <v>18</v>
      </c>
      <c r="S28" s="18" t="s">
        <v>19</v>
      </c>
    </row>
    <row r="29" spans="1:20" x14ac:dyDescent="0.25">
      <c r="A29" s="40"/>
      <c r="B29" s="40"/>
      <c r="C29" s="40"/>
      <c r="D29" s="794"/>
      <c r="E29" s="795"/>
      <c r="F29" s="796"/>
      <c r="G29" s="58"/>
      <c r="H29" s="56"/>
      <c r="I29" s="57"/>
      <c r="J29" s="57"/>
      <c r="K29" s="57"/>
      <c r="L29" s="57"/>
      <c r="M29" s="57"/>
      <c r="N29" s="57"/>
      <c r="O29" s="57"/>
      <c r="P29" s="57"/>
      <c r="Q29" s="57"/>
      <c r="R29" s="57"/>
      <c r="S29" s="57"/>
    </row>
    <row r="30" spans="1:20" x14ac:dyDescent="0.25">
      <c r="A30" s="40"/>
      <c r="B30" s="40"/>
      <c r="C30" s="40"/>
      <c r="D30" s="794"/>
      <c r="E30" s="795"/>
      <c r="F30" s="796"/>
      <c r="G30" s="58"/>
      <c r="H30" s="56"/>
      <c r="I30" s="57"/>
      <c r="J30" s="57"/>
      <c r="K30" s="57"/>
      <c r="L30" s="57"/>
      <c r="M30" s="57"/>
      <c r="N30" s="57"/>
      <c r="O30" s="57"/>
      <c r="P30" s="57"/>
      <c r="Q30" s="57"/>
      <c r="R30" s="57"/>
      <c r="S30" s="57"/>
    </row>
    <row r="31" spans="1:20" x14ac:dyDescent="0.25">
      <c r="A31" s="40"/>
      <c r="B31" s="40"/>
      <c r="C31" s="40"/>
      <c r="D31" s="794"/>
      <c r="E31" s="795"/>
      <c r="F31" s="796"/>
      <c r="G31" s="58"/>
      <c r="H31" s="56"/>
      <c r="I31" s="59"/>
      <c r="J31" s="57"/>
      <c r="K31" s="57"/>
      <c r="L31" s="57"/>
      <c r="M31" s="57"/>
      <c r="N31" s="57"/>
      <c r="O31" s="57"/>
      <c r="P31" s="57"/>
      <c r="Q31" s="57"/>
      <c r="R31" s="57"/>
      <c r="S31" s="57"/>
    </row>
    <row r="32" spans="1:20" x14ac:dyDescent="0.25">
      <c r="A32" s="40"/>
      <c r="B32" s="40"/>
      <c r="C32" s="40"/>
      <c r="D32" s="794"/>
      <c r="E32" s="795"/>
      <c r="F32" s="796"/>
      <c r="G32" s="58"/>
      <c r="H32" s="56"/>
      <c r="I32" s="59"/>
      <c r="J32" s="57"/>
      <c r="K32" s="57"/>
      <c r="L32" s="57"/>
      <c r="M32" s="57"/>
      <c r="N32" s="57"/>
      <c r="O32" s="57"/>
      <c r="P32" s="57"/>
      <c r="Q32" s="57"/>
      <c r="R32" s="57"/>
      <c r="S32" s="57"/>
    </row>
    <row r="33" spans="1:19" x14ac:dyDescent="0.25">
      <c r="A33" s="40"/>
      <c r="B33" s="40"/>
      <c r="C33" s="40"/>
      <c r="D33" s="794"/>
      <c r="E33" s="795"/>
      <c r="F33" s="796"/>
      <c r="G33" s="58"/>
      <c r="H33" s="56"/>
      <c r="I33" s="59"/>
      <c r="J33" s="57"/>
      <c r="K33" s="57"/>
      <c r="L33" s="57"/>
      <c r="M33" s="57"/>
      <c r="N33" s="57"/>
      <c r="O33" s="57"/>
      <c r="P33" s="57"/>
      <c r="Q33" s="57"/>
      <c r="R33" s="57"/>
      <c r="S33" s="57"/>
    </row>
    <row r="34" spans="1:19" x14ac:dyDescent="0.25">
      <c r="A34" s="40"/>
      <c r="B34" s="40"/>
      <c r="C34" s="40"/>
      <c r="D34" s="794"/>
      <c r="E34" s="795"/>
      <c r="F34" s="796"/>
      <c r="G34" s="58"/>
      <c r="H34" s="56"/>
      <c r="I34" s="59"/>
      <c r="J34" s="57"/>
      <c r="K34" s="57"/>
      <c r="L34" s="57"/>
      <c r="M34" s="57"/>
      <c r="N34" s="57"/>
      <c r="O34" s="57"/>
      <c r="P34" s="57"/>
      <c r="Q34" s="57"/>
      <c r="R34" s="57"/>
      <c r="S34" s="57"/>
    </row>
    <row r="35" spans="1:19" x14ac:dyDescent="0.25">
      <c r="A35" s="40"/>
      <c r="B35" s="40"/>
      <c r="C35" s="60"/>
      <c r="D35" s="794"/>
      <c r="E35" s="795"/>
      <c r="F35" s="796"/>
      <c r="G35" s="58"/>
      <c r="H35" s="63"/>
      <c r="I35" s="57"/>
      <c r="J35" s="57"/>
      <c r="K35" s="57"/>
      <c r="L35" s="57"/>
      <c r="M35" s="57"/>
      <c r="N35" s="57"/>
      <c r="O35" s="57"/>
      <c r="P35" s="57"/>
      <c r="Q35" s="57"/>
      <c r="R35" s="57"/>
      <c r="S35" s="57"/>
    </row>
    <row r="36" spans="1:19" x14ac:dyDescent="0.25">
      <c r="A36" s="40"/>
      <c r="B36" s="40"/>
      <c r="C36" s="60"/>
      <c r="D36" s="794"/>
      <c r="E36" s="795"/>
      <c r="F36" s="796"/>
      <c r="G36" s="58"/>
      <c r="H36" s="63"/>
      <c r="I36" s="57"/>
      <c r="J36" s="57"/>
      <c r="K36" s="57"/>
      <c r="L36" s="57"/>
      <c r="M36" s="57"/>
      <c r="N36" s="57"/>
      <c r="O36" s="57"/>
      <c r="P36" s="57"/>
      <c r="Q36" s="57"/>
      <c r="R36" s="57"/>
      <c r="S36" s="57"/>
    </row>
    <row r="37" spans="1:19" x14ac:dyDescent="0.25">
      <c r="A37" s="40"/>
      <c r="B37" s="40"/>
      <c r="C37" s="60"/>
      <c r="D37" s="794"/>
      <c r="E37" s="795"/>
      <c r="F37" s="796"/>
      <c r="G37" s="58"/>
      <c r="H37" s="63"/>
      <c r="I37" s="57"/>
      <c r="J37" s="57"/>
      <c r="K37" s="57"/>
      <c r="L37" s="57"/>
      <c r="M37" s="57"/>
      <c r="N37" s="57"/>
      <c r="O37" s="57"/>
      <c r="P37" s="57"/>
      <c r="Q37" s="57"/>
      <c r="R37" s="57"/>
      <c r="S37" s="57"/>
    </row>
    <row r="38" spans="1:19" x14ac:dyDescent="0.25">
      <c r="A38" s="40"/>
      <c r="B38" s="40"/>
      <c r="C38" s="40"/>
      <c r="D38" s="794"/>
      <c r="E38" s="795"/>
      <c r="F38" s="796"/>
      <c r="G38" s="58"/>
      <c r="H38" s="63"/>
      <c r="I38" s="57"/>
      <c r="J38" s="57"/>
      <c r="K38" s="57"/>
      <c r="L38" s="57"/>
      <c r="M38" s="57"/>
      <c r="N38" s="57"/>
      <c r="O38" s="57"/>
      <c r="P38" s="57"/>
      <c r="Q38" s="57"/>
      <c r="R38" s="57"/>
      <c r="S38" s="57"/>
    </row>
    <row r="39" spans="1:19" x14ac:dyDescent="0.25">
      <c r="A39" s="66"/>
      <c r="B39" s="40"/>
      <c r="C39" s="40"/>
      <c r="D39" s="794"/>
      <c r="E39" s="795"/>
      <c r="F39" s="796"/>
      <c r="G39" s="68"/>
      <c r="H39" s="69"/>
      <c r="I39" s="70"/>
      <c r="J39" s="70"/>
      <c r="K39" s="70"/>
      <c r="L39" s="70"/>
      <c r="M39" s="70"/>
      <c r="N39" s="70"/>
      <c r="O39" s="70"/>
      <c r="P39" s="70"/>
      <c r="Q39" s="70"/>
      <c r="R39" s="70"/>
      <c r="S39" s="70"/>
    </row>
    <row r="40" spans="1:19" x14ac:dyDescent="0.25">
      <c r="A40" s="66"/>
      <c r="B40" s="66"/>
      <c r="C40" s="66"/>
      <c r="D40" s="794"/>
      <c r="E40" s="795"/>
      <c r="F40" s="796"/>
      <c r="G40" s="72"/>
      <c r="H40" s="74"/>
      <c r="I40" s="75"/>
      <c r="J40" s="75"/>
      <c r="K40" s="75"/>
      <c r="L40" s="75"/>
      <c r="M40" s="75"/>
      <c r="N40" s="75"/>
      <c r="O40" s="75"/>
      <c r="P40" s="75"/>
      <c r="Q40" s="75"/>
      <c r="R40" s="75"/>
      <c r="S40" s="75"/>
    </row>
    <row r="41" spans="1:19" x14ac:dyDescent="0.25">
      <c r="G41" s="108">
        <f>SUM(G29:G40)</f>
        <v>0</v>
      </c>
      <c r="H41" s="109">
        <f t="shared" ref="H41:S41" si="21">SUM(H29:H34)</f>
        <v>0</v>
      </c>
      <c r="I41" s="108">
        <f t="shared" si="21"/>
        <v>0</v>
      </c>
      <c r="J41" s="108">
        <f t="shared" si="21"/>
        <v>0</v>
      </c>
      <c r="K41" s="108">
        <f t="shared" si="21"/>
        <v>0</v>
      </c>
      <c r="L41" s="108">
        <f t="shared" si="21"/>
        <v>0</v>
      </c>
      <c r="M41" s="108">
        <f t="shared" si="21"/>
        <v>0</v>
      </c>
      <c r="N41" s="108">
        <f t="shared" si="21"/>
        <v>0</v>
      </c>
      <c r="O41" s="108">
        <f t="shared" si="21"/>
        <v>0</v>
      </c>
      <c r="P41" s="108">
        <f t="shared" si="21"/>
        <v>0</v>
      </c>
      <c r="Q41" s="108">
        <f t="shared" si="21"/>
        <v>0</v>
      </c>
      <c r="R41" s="108">
        <f t="shared" si="21"/>
        <v>0</v>
      </c>
      <c r="S41" s="108">
        <f t="shared" si="21"/>
        <v>0</v>
      </c>
    </row>
  </sheetData>
  <mergeCells count="21">
    <mergeCell ref="D35:F35"/>
    <mergeCell ref="D37:F37"/>
    <mergeCell ref="D36:F36"/>
    <mergeCell ref="D39:F39"/>
    <mergeCell ref="D40:F40"/>
    <mergeCell ref="D38:F38"/>
    <mergeCell ref="D29:F29"/>
    <mergeCell ref="D28:F28"/>
    <mergeCell ref="D31:F31"/>
    <mergeCell ref="D30:F30"/>
    <mergeCell ref="D34:F34"/>
    <mergeCell ref="D33:F33"/>
    <mergeCell ref="D32:F32"/>
    <mergeCell ref="N3:Q3"/>
    <mergeCell ref="R3:S3"/>
    <mergeCell ref="J3:M3"/>
    <mergeCell ref="H3:I3"/>
    <mergeCell ref="J27:M27"/>
    <mergeCell ref="N27:Q27"/>
    <mergeCell ref="R27:S27"/>
    <mergeCell ref="H27:I27"/>
  </mergeCells>
  <pageMargins left="0.7" right="0.7" top="0.75" bottom="0.75" header="0" footer="0"/>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T41"/>
  <sheetViews>
    <sheetView showGridLines="0" workbookViewId="0"/>
  </sheetViews>
  <sheetFormatPr defaultColWidth="14.42578125" defaultRowHeight="15" customHeight="1" outlineLevelRow="1" x14ac:dyDescent="0.25"/>
  <cols>
    <col min="1" max="1" width="17.42578125" customWidth="1"/>
    <col min="2" max="2" width="29.140625" customWidth="1"/>
    <col min="3" max="3" width="20.85546875" customWidth="1"/>
    <col min="4" max="4" width="20.7109375" customWidth="1"/>
    <col min="5" max="6" width="17.140625" customWidth="1"/>
    <col min="7" max="7" width="17.28515625" customWidth="1"/>
    <col min="8" max="19" width="9.85546875" customWidth="1"/>
    <col min="20" max="20" width="7.85546875" customWidth="1"/>
    <col min="21" max="27" width="15.85546875" customWidth="1"/>
  </cols>
  <sheetData>
    <row r="1" spans="1:20" ht="23.25" x14ac:dyDescent="0.35">
      <c r="A1" s="1" t="s">
        <v>2</v>
      </c>
    </row>
    <row r="2" spans="1:20" x14ac:dyDescent="0.25">
      <c r="I2" s="5"/>
      <c r="J2" s="6"/>
      <c r="K2" s="5"/>
      <c r="L2" s="5"/>
      <c r="M2" s="5"/>
      <c r="N2" s="6"/>
      <c r="O2" s="5"/>
      <c r="P2" s="5"/>
      <c r="Q2" s="5"/>
      <c r="R2" s="6"/>
      <c r="S2" s="5"/>
      <c r="T2" s="5"/>
    </row>
    <row r="3" spans="1:20" ht="18.75" x14ac:dyDescent="0.3">
      <c r="A3" s="7" t="s">
        <v>4</v>
      </c>
      <c r="H3" s="790">
        <v>2019</v>
      </c>
      <c r="I3" s="789"/>
      <c r="J3" s="787">
        <v>2020</v>
      </c>
      <c r="K3" s="788"/>
      <c r="L3" s="788"/>
      <c r="M3" s="789"/>
      <c r="N3" s="787">
        <v>2021</v>
      </c>
      <c r="O3" s="788"/>
      <c r="P3" s="788"/>
      <c r="Q3" s="789"/>
      <c r="R3" s="790">
        <v>2022</v>
      </c>
      <c r="S3" s="789"/>
      <c r="T3" s="5"/>
    </row>
    <row r="4" spans="1:20" hidden="1" outlineLevel="1" x14ac:dyDescent="0.25">
      <c r="A4" s="8"/>
      <c r="B4" s="8"/>
      <c r="C4" s="8"/>
      <c r="D4" s="11"/>
      <c r="E4" s="8"/>
      <c r="F4" s="8"/>
      <c r="G4" s="11"/>
      <c r="H4" s="13">
        <v>43647</v>
      </c>
      <c r="I4" s="13">
        <v>43739</v>
      </c>
      <c r="J4" s="13">
        <v>43831</v>
      </c>
      <c r="K4" s="13">
        <v>43922</v>
      </c>
      <c r="L4" s="13">
        <v>44013</v>
      </c>
      <c r="M4" s="13">
        <v>44105</v>
      </c>
      <c r="N4" s="13">
        <v>44197</v>
      </c>
      <c r="O4" s="13">
        <v>44287</v>
      </c>
      <c r="P4" s="13">
        <v>44378</v>
      </c>
      <c r="Q4" s="13">
        <v>44470</v>
      </c>
      <c r="R4" s="13">
        <v>44562</v>
      </c>
      <c r="S4" s="13">
        <v>44652</v>
      </c>
      <c r="T4" s="5"/>
    </row>
    <row r="5" spans="1:20" ht="30" collapsed="1" x14ac:dyDescent="0.25">
      <c r="A5" s="15" t="s">
        <v>8</v>
      </c>
      <c r="B5" s="15" t="s">
        <v>11</v>
      </c>
      <c r="C5" s="15" t="s">
        <v>12</v>
      </c>
      <c r="D5" s="16" t="s">
        <v>13</v>
      </c>
      <c r="E5" s="17" t="s">
        <v>14</v>
      </c>
      <c r="F5" s="17" t="s">
        <v>15</v>
      </c>
      <c r="G5" s="16" t="s">
        <v>16</v>
      </c>
      <c r="H5" s="19" t="s">
        <v>10</v>
      </c>
      <c r="I5" s="21" t="s">
        <v>17</v>
      </c>
      <c r="J5" s="23" t="s">
        <v>18</v>
      </c>
      <c r="K5" s="25" t="s">
        <v>19</v>
      </c>
      <c r="L5" s="25" t="s">
        <v>10</v>
      </c>
      <c r="M5" s="21" t="s">
        <v>17</v>
      </c>
      <c r="N5" s="23" t="s">
        <v>18</v>
      </c>
      <c r="O5" s="25" t="s">
        <v>19</v>
      </c>
      <c r="P5" s="25" t="s">
        <v>10</v>
      </c>
      <c r="Q5" s="21" t="s">
        <v>17</v>
      </c>
      <c r="R5" s="23" t="s">
        <v>18</v>
      </c>
      <c r="S5" s="25" t="s">
        <v>19</v>
      </c>
      <c r="T5" s="5"/>
    </row>
    <row r="6" spans="1:20" x14ac:dyDescent="0.25">
      <c r="A6" s="27"/>
      <c r="B6" s="27"/>
      <c r="C6" s="30"/>
      <c r="D6" s="27"/>
      <c r="E6" s="37"/>
      <c r="F6" s="27"/>
      <c r="G6" s="39"/>
      <c r="H6" s="31">
        <f t="shared" ref="H6:R6" si="0">IF($E6&lt;I$4,($G6*1.3)/4,0)</f>
        <v>0</v>
      </c>
      <c r="I6" s="33">
        <f t="shared" si="0"/>
        <v>0</v>
      </c>
      <c r="J6" s="33">
        <f t="shared" si="0"/>
        <v>0</v>
      </c>
      <c r="K6" s="33">
        <f t="shared" si="0"/>
        <v>0</v>
      </c>
      <c r="L6" s="33">
        <f t="shared" si="0"/>
        <v>0</v>
      </c>
      <c r="M6" s="33">
        <f t="shared" si="0"/>
        <v>0</v>
      </c>
      <c r="N6" s="33">
        <f t="shared" si="0"/>
        <v>0</v>
      </c>
      <c r="O6" s="33">
        <f t="shared" si="0"/>
        <v>0</v>
      </c>
      <c r="P6" s="33">
        <f t="shared" si="0"/>
        <v>0</v>
      </c>
      <c r="Q6" s="33">
        <f t="shared" si="0"/>
        <v>0</v>
      </c>
      <c r="R6" s="33">
        <f t="shared" si="0"/>
        <v>0</v>
      </c>
      <c r="S6" s="33">
        <f t="shared" ref="S6:S24" si="1">IF($E6&lt;S$4,($G6*1.3)/4,0)</f>
        <v>0</v>
      </c>
      <c r="T6" s="5"/>
    </row>
    <row r="7" spans="1:20" x14ac:dyDescent="0.25">
      <c r="A7" s="40"/>
      <c r="B7" s="40"/>
      <c r="C7" s="35"/>
      <c r="D7" s="40"/>
      <c r="E7" s="42"/>
      <c r="F7" s="43"/>
      <c r="G7" s="44"/>
      <c r="H7" s="31">
        <f t="shared" ref="H7:R7" si="2">IF($E7&lt;I$4,($G7*1.3)/4,0)</f>
        <v>0</v>
      </c>
      <c r="I7" s="33">
        <f t="shared" si="2"/>
        <v>0</v>
      </c>
      <c r="J7" s="33">
        <f t="shared" si="2"/>
        <v>0</v>
      </c>
      <c r="K7" s="33">
        <f t="shared" si="2"/>
        <v>0</v>
      </c>
      <c r="L7" s="33">
        <f t="shared" si="2"/>
        <v>0</v>
      </c>
      <c r="M7" s="33">
        <f t="shared" si="2"/>
        <v>0</v>
      </c>
      <c r="N7" s="33">
        <f t="shared" si="2"/>
        <v>0</v>
      </c>
      <c r="O7" s="33">
        <f t="shared" si="2"/>
        <v>0</v>
      </c>
      <c r="P7" s="33">
        <f t="shared" si="2"/>
        <v>0</v>
      </c>
      <c r="Q7" s="33">
        <f t="shared" si="2"/>
        <v>0</v>
      </c>
      <c r="R7" s="33">
        <f t="shared" si="2"/>
        <v>0</v>
      </c>
      <c r="S7" s="33">
        <f t="shared" si="1"/>
        <v>0</v>
      </c>
      <c r="T7" s="5"/>
    </row>
    <row r="8" spans="1:20" x14ac:dyDescent="0.25">
      <c r="A8" s="40"/>
      <c r="B8" s="40"/>
      <c r="C8" s="35"/>
      <c r="D8" s="40"/>
      <c r="E8" s="42"/>
      <c r="F8" s="43"/>
      <c r="G8" s="44"/>
      <c r="H8" s="31">
        <f t="shared" ref="H8:R8" si="3">IF($E8&lt;I$4,($G8*1.3)/4,0)</f>
        <v>0</v>
      </c>
      <c r="I8" s="33">
        <f t="shared" si="3"/>
        <v>0</v>
      </c>
      <c r="J8" s="33">
        <f t="shared" si="3"/>
        <v>0</v>
      </c>
      <c r="K8" s="33">
        <f t="shared" si="3"/>
        <v>0</v>
      </c>
      <c r="L8" s="33">
        <f t="shared" si="3"/>
        <v>0</v>
      </c>
      <c r="M8" s="33">
        <f t="shared" si="3"/>
        <v>0</v>
      </c>
      <c r="N8" s="33">
        <f t="shared" si="3"/>
        <v>0</v>
      </c>
      <c r="O8" s="33">
        <f t="shared" si="3"/>
        <v>0</v>
      </c>
      <c r="P8" s="33">
        <f t="shared" si="3"/>
        <v>0</v>
      </c>
      <c r="Q8" s="33">
        <f t="shared" si="3"/>
        <v>0</v>
      </c>
      <c r="R8" s="33">
        <f t="shared" si="3"/>
        <v>0</v>
      </c>
      <c r="S8" s="33">
        <f t="shared" si="1"/>
        <v>0</v>
      </c>
      <c r="T8" s="5"/>
    </row>
    <row r="9" spans="1:20" x14ac:dyDescent="0.25">
      <c r="A9" s="40"/>
      <c r="B9" s="40"/>
      <c r="C9" s="35"/>
      <c r="D9" s="40"/>
      <c r="E9" s="42"/>
      <c r="F9" s="43"/>
      <c r="G9" s="44"/>
      <c r="H9" s="31">
        <f t="shared" ref="H9:R9" si="4">IF($E9&lt;I$4,($G9*1.3)/4,0)</f>
        <v>0</v>
      </c>
      <c r="I9" s="33">
        <f t="shared" si="4"/>
        <v>0</v>
      </c>
      <c r="J9" s="33">
        <f t="shared" si="4"/>
        <v>0</v>
      </c>
      <c r="K9" s="33">
        <f t="shared" si="4"/>
        <v>0</v>
      </c>
      <c r="L9" s="33">
        <f t="shared" si="4"/>
        <v>0</v>
      </c>
      <c r="M9" s="33">
        <f t="shared" si="4"/>
        <v>0</v>
      </c>
      <c r="N9" s="33">
        <f t="shared" si="4"/>
        <v>0</v>
      </c>
      <c r="O9" s="33">
        <f t="shared" si="4"/>
        <v>0</v>
      </c>
      <c r="P9" s="33">
        <f t="shared" si="4"/>
        <v>0</v>
      </c>
      <c r="Q9" s="33">
        <f t="shared" si="4"/>
        <v>0</v>
      </c>
      <c r="R9" s="33">
        <f t="shared" si="4"/>
        <v>0</v>
      </c>
      <c r="S9" s="33">
        <f t="shared" si="1"/>
        <v>0</v>
      </c>
      <c r="T9" s="5"/>
    </row>
    <row r="10" spans="1:20" x14ac:dyDescent="0.25">
      <c r="A10" s="40"/>
      <c r="B10" s="40"/>
      <c r="C10" s="35"/>
      <c r="D10" s="40"/>
      <c r="E10" s="42"/>
      <c r="F10" s="43"/>
      <c r="G10" s="44"/>
      <c r="H10" s="31">
        <f t="shared" ref="H10:R10" si="5">IF($E10&lt;I$4,($G10*1.3)/4,0)</f>
        <v>0</v>
      </c>
      <c r="I10" s="33">
        <f t="shared" si="5"/>
        <v>0</v>
      </c>
      <c r="J10" s="33">
        <f t="shared" si="5"/>
        <v>0</v>
      </c>
      <c r="K10" s="33">
        <f t="shared" si="5"/>
        <v>0</v>
      </c>
      <c r="L10" s="33">
        <f t="shared" si="5"/>
        <v>0</v>
      </c>
      <c r="M10" s="33">
        <f t="shared" si="5"/>
        <v>0</v>
      </c>
      <c r="N10" s="33">
        <f t="shared" si="5"/>
        <v>0</v>
      </c>
      <c r="O10" s="33">
        <f t="shared" si="5"/>
        <v>0</v>
      </c>
      <c r="P10" s="33">
        <f t="shared" si="5"/>
        <v>0</v>
      </c>
      <c r="Q10" s="33">
        <f t="shared" si="5"/>
        <v>0</v>
      </c>
      <c r="R10" s="33">
        <f t="shared" si="5"/>
        <v>0</v>
      </c>
      <c r="S10" s="33">
        <f t="shared" si="1"/>
        <v>0</v>
      </c>
      <c r="T10" s="5"/>
    </row>
    <row r="11" spans="1:20" x14ac:dyDescent="0.25">
      <c r="A11" s="40"/>
      <c r="B11" s="40"/>
      <c r="C11" s="35"/>
      <c r="D11" s="40"/>
      <c r="E11" s="42"/>
      <c r="F11" s="43"/>
      <c r="G11" s="44"/>
      <c r="H11" s="31">
        <f t="shared" ref="H11:R11" si="6">IF($E11&lt;I$4,($G11*1.3)/4,0)</f>
        <v>0</v>
      </c>
      <c r="I11" s="33">
        <f t="shared" si="6"/>
        <v>0</v>
      </c>
      <c r="J11" s="33">
        <f t="shared" si="6"/>
        <v>0</v>
      </c>
      <c r="K11" s="33">
        <f t="shared" si="6"/>
        <v>0</v>
      </c>
      <c r="L11" s="33">
        <f t="shared" si="6"/>
        <v>0</v>
      </c>
      <c r="M11" s="33">
        <f t="shared" si="6"/>
        <v>0</v>
      </c>
      <c r="N11" s="33">
        <f t="shared" si="6"/>
        <v>0</v>
      </c>
      <c r="O11" s="33">
        <f t="shared" si="6"/>
        <v>0</v>
      </c>
      <c r="P11" s="33">
        <f t="shared" si="6"/>
        <v>0</v>
      </c>
      <c r="Q11" s="33">
        <f t="shared" si="6"/>
        <v>0</v>
      </c>
      <c r="R11" s="33">
        <f t="shared" si="6"/>
        <v>0</v>
      </c>
      <c r="S11" s="33">
        <f t="shared" si="1"/>
        <v>0</v>
      </c>
      <c r="T11" s="5"/>
    </row>
    <row r="12" spans="1:20" x14ac:dyDescent="0.25">
      <c r="A12" s="40"/>
      <c r="B12" s="40"/>
      <c r="C12" s="35"/>
      <c r="D12" s="40"/>
      <c r="E12" s="42"/>
      <c r="F12" s="43"/>
      <c r="G12" s="44"/>
      <c r="H12" s="31">
        <f t="shared" ref="H12:R12" si="7">IF($E12&lt;I$4,($G12*1.3)/4,0)</f>
        <v>0</v>
      </c>
      <c r="I12" s="33">
        <f t="shared" si="7"/>
        <v>0</v>
      </c>
      <c r="J12" s="33">
        <f t="shared" si="7"/>
        <v>0</v>
      </c>
      <c r="K12" s="33">
        <f t="shared" si="7"/>
        <v>0</v>
      </c>
      <c r="L12" s="33">
        <f t="shared" si="7"/>
        <v>0</v>
      </c>
      <c r="M12" s="33">
        <f t="shared" si="7"/>
        <v>0</v>
      </c>
      <c r="N12" s="33">
        <f t="shared" si="7"/>
        <v>0</v>
      </c>
      <c r="O12" s="33">
        <f t="shared" si="7"/>
        <v>0</v>
      </c>
      <c r="P12" s="33">
        <f t="shared" si="7"/>
        <v>0</v>
      </c>
      <c r="Q12" s="33">
        <f t="shared" si="7"/>
        <v>0</v>
      </c>
      <c r="R12" s="33">
        <f t="shared" si="7"/>
        <v>0</v>
      </c>
      <c r="S12" s="33">
        <f t="shared" si="1"/>
        <v>0</v>
      </c>
      <c r="T12" s="5"/>
    </row>
    <row r="13" spans="1:20" x14ac:dyDescent="0.25">
      <c r="A13" s="40"/>
      <c r="B13" s="40"/>
      <c r="C13" s="35"/>
      <c r="D13" s="40"/>
      <c r="E13" s="42"/>
      <c r="F13" s="43"/>
      <c r="G13" s="44"/>
      <c r="H13" s="31">
        <f t="shared" ref="H13:R13" si="8">IF($E13&lt;I$4,($G13*1.3)/4,0)</f>
        <v>0</v>
      </c>
      <c r="I13" s="33">
        <f t="shared" si="8"/>
        <v>0</v>
      </c>
      <c r="J13" s="33">
        <f t="shared" si="8"/>
        <v>0</v>
      </c>
      <c r="K13" s="33">
        <f t="shared" si="8"/>
        <v>0</v>
      </c>
      <c r="L13" s="33">
        <f t="shared" si="8"/>
        <v>0</v>
      </c>
      <c r="M13" s="33">
        <f t="shared" si="8"/>
        <v>0</v>
      </c>
      <c r="N13" s="33">
        <f t="shared" si="8"/>
        <v>0</v>
      </c>
      <c r="O13" s="33">
        <f t="shared" si="8"/>
        <v>0</v>
      </c>
      <c r="P13" s="33">
        <f t="shared" si="8"/>
        <v>0</v>
      </c>
      <c r="Q13" s="33">
        <f t="shared" si="8"/>
        <v>0</v>
      </c>
      <c r="R13" s="33">
        <f t="shared" si="8"/>
        <v>0</v>
      </c>
      <c r="S13" s="33">
        <f t="shared" si="1"/>
        <v>0</v>
      </c>
      <c r="T13" s="5"/>
    </row>
    <row r="14" spans="1:20" x14ac:dyDescent="0.25">
      <c r="A14" s="40"/>
      <c r="B14" s="40"/>
      <c r="C14" s="35"/>
      <c r="D14" s="40"/>
      <c r="E14" s="42"/>
      <c r="F14" s="43"/>
      <c r="G14" s="44"/>
      <c r="H14" s="31">
        <f t="shared" ref="H14:R14" si="9">IF($E14&lt;I$4,($G14*1.3)/4,0)</f>
        <v>0</v>
      </c>
      <c r="I14" s="33">
        <f t="shared" si="9"/>
        <v>0</v>
      </c>
      <c r="J14" s="33">
        <f t="shared" si="9"/>
        <v>0</v>
      </c>
      <c r="K14" s="33">
        <f t="shared" si="9"/>
        <v>0</v>
      </c>
      <c r="L14" s="33">
        <f t="shared" si="9"/>
        <v>0</v>
      </c>
      <c r="M14" s="33">
        <f t="shared" si="9"/>
        <v>0</v>
      </c>
      <c r="N14" s="33">
        <f t="shared" si="9"/>
        <v>0</v>
      </c>
      <c r="O14" s="33">
        <f t="shared" si="9"/>
        <v>0</v>
      </c>
      <c r="P14" s="33">
        <f t="shared" si="9"/>
        <v>0</v>
      </c>
      <c r="Q14" s="33">
        <f t="shared" si="9"/>
        <v>0</v>
      </c>
      <c r="R14" s="33">
        <f t="shared" si="9"/>
        <v>0</v>
      </c>
      <c r="S14" s="33">
        <f t="shared" si="1"/>
        <v>0</v>
      </c>
      <c r="T14" s="5"/>
    </row>
    <row r="15" spans="1:20" x14ac:dyDescent="0.25">
      <c r="A15" s="40"/>
      <c r="B15" s="40"/>
      <c r="C15" s="35"/>
      <c r="D15" s="40"/>
      <c r="E15" s="42"/>
      <c r="F15" s="43"/>
      <c r="G15" s="44"/>
      <c r="H15" s="31">
        <f t="shared" ref="H15:R15" si="10">IF($E15&lt;I$4,($G15*1.3)/4,0)</f>
        <v>0</v>
      </c>
      <c r="I15" s="33">
        <f t="shared" si="10"/>
        <v>0</v>
      </c>
      <c r="J15" s="33">
        <f t="shared" si="10"/>
        <v>0</v>
      </c>
      <c r="K15" s="33">
        <f t="shared" si="10"/>
        <v>0</v>
      </c>
      <c r="L15" s="33">
        <f t="shared" si="10"/>
        <v>0</v>
      </c>
      <c r="M15" s="33">
        <f t="shared" si="10"/>
        <v>0</v>
      </c>
      <c r="N15" s="33">
        <f t="shared" si="10"/>
        <v>0</v>
      </c>
      <c r="O15" s="33">
        <f t="shared" si="10"/>
        <v>0</v>
      </c>
      <c r="P15" s="33">
        <f t="shared" si="10"/>
        <v>0</v>
      </c>
      <c r="Q15" s="33">
        <f t="shared" si="10"/>
        <v>0</v>
      </c>
      <c r="R15" s="33">
        <f t="shared" si="10"/>
        <v>0</v>
      </c>
      <c r="S15" s="33">
        <f t="shared" si="1"/>
        <v>0</v>
      </c>
      <c r="T15" s="5"/>
    </row>
    <row r="16" spans="1:20" x14ac:dyDescent="0.25">
      <c r="A16" s="40"/>
      <c r="B16" s="40"/>
      <c r="C16" s="35"/>
      <c r="D16" s="40"/>
      <c r="E16" s="42"/>
      <c r="F16" s="43"/>
      <c r="G16" s="44"/>
      <c r="H16" s="31">
        <f t="shared" ref="H16:R16" si="11">IF($E16&lt;I$4,($G16*1.3)/4,0)</f>
        <v>0</v>
      </c>
      <c r="I16" s="33">
        <f t="shared" si="11"/>
        <v>0</v>
      </c>
      <c r="J16" s="33">
        <f t="shared" si="11"/>
        <v>0</v>
      </c>
      <c r="K16" s="33">
        <f t="shared" si="11"/>
        <v>0</v>
      </c>
      <c r="L16" s="33">
        <f t="shared" si="11"/>
        <v>0</v>
      </c>
      <c r="M16" s="33">
        <f t="shared" si="11"/>
        <v>0</v>
      </c>
      <c r="N16" s="33">
        <f t="shared" si="11"/>
        <v>0</v>
      </c>
      <c r="O16" s="33">
        <f t="shared" si="11"/>
        <v>0</v>
      </c>
      <c r="P16" s="33">
        <f t="shared" si="11"/>
        <v>0</v>
      </c>
      <c r="Q16" s="33">
        <f t="shared" si="11"/>
        <v>0</v>
      </c>
      <c r="R16" s="33">
        <f t="shared" si="11"/>
        <v>0</v>
      </c>
      <c r="S16" s="33">
        <f t="shared" si="1"/>
        <v>0</v>
      </c>
      <c r="T16" s="5"/>
    </row>
    <row r="17" spans="1:20" x14ac:dyDescent="0.25">
      <c r="A17" s="40"/>
      <c r="B17" s="40"/>
      <c r="C17" s="35"/>
      <c r="D17" s="40"/>
      <c r="E17" s="40"/>
      <c r="F17" s="43"/>
      <c r="G17" s="44"/>
      <c r="H17" s="31">
        <f t="shared" ref="H17:R17" si="12">IF($E17&lt;I$4,($G17*1.3)/4,0)</f>
        <v>0</v>
      </c>
      <c r="I17" s="33">
        <f t="shared" si="12"/>
        <v>0</v>
      </c>
      <c r="J17" s="33">
        <f t="shared" si="12"/>
        <v>0</v>
      </c>
      <c r="K17" s="33">
        <f t="shared" si="12"/>
        <v>0</v>
      </c>
      <c r="L17" s="33">
        <f t="shared" si="12"/>
        <v>0</v>
      </c>
      <c r="M17" s="33">
        <f t="shared" si="12"/>
        <v>0</v>
      </c>
      <c r="N17" s="33">
        <f t="shared" si="12"/>
        <v>0</v>
      </c>
      <c r="O17" s="33">
        <f t="shared" si="12"/>
        <v>0</v>
      </c>
      <c r="P17" s="33">
        <f t="shared" si="12"/>
        <v>0</v>
      </c>
      <c r="Q17" s="33">
        <f t="shared" si="12"/>
        <v>0</v>
      </c>
      <c r="R17" s="33">
        <f t="shared" si="12"/>
        <v>0</v>
      </c>
      <c r="S17" s="33">
        <f t="shared" si="1"/>
        <v>0</v>
      </c>
      <c r="T17" s="5"/>
    </row>
    <row r="18" spans="1:20" x14ac:dyDescent="0.25">
      <c r="A18" s="40"/>
      <c r="B18" s="40"/>
      <c r="C18" s="35"/>
      <c r="D18" s="40"/>
      <c r="E18" s="40"/>
      <c r="F18" s="43"/>
      <c r="G18" s="44"/>
      <c r="H18" s="31">
        <f t="shared" ref="H18:R18" si="13">IF($E18&lt;I$4,($G18*1.3)/4,0)</f>
        <v>0</v>
      </c>
      <c r="I18" s="33">
        <f t="shared" si="13"/>
        <v>0</v>
      </c>
      <c r="J18" s="33">
        <f t="shared" si="13"/>
        <v>0</v>
      </c>
      <c r="K18" s="33">
        <f t="shared" si="13"/>
        <v>0</v>
      </c>
      <c r="L18" s="33">
        <f t="shared" si="13"/>
        <v>0</v>
      </c>
      <c r="M18" s="33">
        <f t="shared" si="13"/>
        <v>0</v>
      </c>
      <c r="N18" s="33">
        <f t="shared" si="13"/>
        <v>0</v>
      </c>
      <c r="O18" s="33">
        <f t="shared" si="13"/>
        <v>0</v>
      </c>
      <c r="P18" s="33">
        <f t="shared" si="13"/>
        <v>0</v>
      </c>
      <c r="Q18" s="33">
        <f t="shared" si="13"/>
        <v>0</v>
      </c>
      <c r="R18" s="33">
        <f t="shared" si="13"/>
        <v>0</v>
      </c>
      <c r="S18" s="33">
        <f t="shared" si="1"/>
        <v>0</v>
      </c>
      <c r="T18" s="5"/>
    </row>
    <row r="19" spans="1:20" x14ac:dyDescent="0.25">
      <c r="A19" s="40"/>
      <c r="B19" s="40"/>
      <c r="C19" s="35"/>
      <c r="D19" s="40"/>
      <c r="E19" s="40"/>
      <c r="F19" s="43"/>
      <c r="G19" s="44"/>
      <c r="H19" s="31">
        <f t="shared" ref="H19:R19" si="14">IF($E19&lt;I$4,($G19*1.3)/4,0)</f>
        <v>0</v>
      </c>
      <c r="I19" s="33">
        <f t="shared" si="14"/>
        <v>0</v>
      </c>
      <c r="J19" s="33">
        <f t="shared" si="14"/>
        <v>0</v>
      </c>
      <c r="K19" s="33">
        <f t="shared" si="14"/>
        <v>0</v>
      </c>
      <c r="L19" s="33">
        <f t="shared" si="14"/>
        <v>0</v>
      </c>
      <c r="M19" s="33">
        <f t="shared" si="14"/>
        <v>0</v>
      </c>
      <c r="N19" s="33">
        <f t="shared" si="14"/>
        <v>0</v>
      </c>
      <c r="O19" s="33">
        <f t="shared" si="14"/>
        <v>0</v>
      </c>
      <c r="P19" s="33">
        <f t="shared" si="14"/>
        <v>0</v>
      </c>
      <c r="Q19" s="33">
        <f t="shared" si="14"/>
        <v>0</v>
      </c>
      <c r="R19" s="33">
        <f t="shared" si="14"/>
        <v>0</v>
      </c>
      <c r="S19" s="33">
        <f t="shared" si="1"/>
        <v>0</v>
      </c>
      <c r="T19" s="5"/>
    </row>
    <row r="20" spans="1:20" x14ac:dyDescent="0.25">
      <c r="A20" s="40"/>
      <c r="B20" s="40"/>
      <c r="C20" s="35"/>
      <c r="D20" s="40"/>
      <c r="E20" s="43"/>
      <c r="F20" s="43"/>
      <c r="G20" s="44"/>
      <c r="H20" s="31">
        <f t="shared" ref="H20:R20" si="15">IF($E20&lt;I$4,($G20*1.3)/4,0)</f>
        <v>0</v>
      </c>
      <c r="I20" s="33">
        <f t="shared" si="15"/>
        <v>0</v>
      </c>
      <c r="J20" s="33">
        <f t="shared" si="15"/>
        <v>0</v>
      </c>
      <c r="K20" s="33">
        <f t="shared" si="15"/>
        <v>0</v>
      </c>
      <c r="L20" s="33">
        <f t="shared" si="15"/>
        <v>0</v>
      </c>
      <c r="M20" s="33">
        <f t="shared" si="15"/>
        <v>0</v>
      </c>
      <c r="N20" s="33">
        <f t="shared" si="15"/>
        <v>0</v>
      </c>
      <c r="O20" s="33">
        <f t="shared" si="15"/>
        <v>0</v>
      </c>
      <c r="P20" s="33">
        <f t="shared" si="15"/>
        <v>0</v>
      </c>
      <c r="Q20" s="33">
        <f t="shared" si="15"/>
        <v>0</v>
      </c>
      <c r="R20" s="33">
        <f t="shared" si="15"/>
        <v>0</v>
      </c>
      <c r="S20" s="33">
        <f t="shared" si="1"/>
        <v>0</v>
      </c>
      <c r="T20" s="5"/>
    </row>
    <row r="21" spans="1:20" x14ac:dyDescent="0.25">
      <c r="A21" s="40"/>
      <c r="B21" s="40"/>
      <c r="C21" s="35"/>
      <c r="D21" s="40"/>
      <c r="E21" s="43"/>
      <c r="F21" s="43"/>
      <c r="G21" s="44"/>
      <c r="H21" s="31">
        <f t="shared" ref="H21:R21" si="16">IF($E21&lt;I$4,($G21*1.3)/4,0)</f>
        <v>0</v>
      </c>
      <c r="I21" s="33">
        <f t="shared" si="16"/>
        <v>0</v>
      </c>
      <c r="J21" s="33">
        <f t="shared" si="16"/>
        <v>0</v>
      </c>
      <c r="K21" s="33">
        <f t="shared" si="16"/>
        <v>0</v>
      </c>
      <c r="L21" s="33">
        <f t="shared" si="16"/>
        <v>0</v>
      </c>
      <c r="M21" s="33">
        <f t="shared" si="16"/>
        <v>0</v>
      </c>
      <c r="N21" s="33">
        <f t="shared" si="16"/>
        <v>0</v>
      </c>
      <c r="O21" s="33">
        <f t="shared" si="16"/>
        <v>0</v>
      </c>
      <c r="P21" s="33">
        <f t="shared" si="16"/>
        <v>0</v>
      </c>
      <c r="Q21" s="33">
        <f t="shared" si="16"/>
        <v>0</v>
      </c>
      <c r="R21" s="33">
        <f t="shared" si="16"/>
        <v>0</v>
      </c>
      <c r="S21" s="33">
        <f t="shared" si="1"/>
        <v>0</v>
      </c>
      <c r="T21" s="5"/>
    </row>
    <row r="22" spans="1:20" x14ac:dyDescent="0.25">
      <c r="A22" s="66"/>
      <c r="B22" s="66"/>
      <c r="C22" s="76"/>
      <c r="D22" s="77"/>
      <c r="E22" s="66"/>
      <c r="F22" s="66"/>
      <c r="G22" s="79"/>
      <c r="H22" s="31">
        <f t="shared" ref="H22:R22" si="17">IF($E22&lt;I$4,($G22*1.3)/4,0)</f>
        <v>0</v>
      </c>
      <c r="I22" s="33">
        <f t="shared" si="17"/>
        <v>0</v>
      </c>
      <c r="J22" s="33">
        <f t="shared" si="17"/>
        <v>0</v>
      </c>
      <c r="K22" s="33">
        <f t="shared" si="17"/>
        <v>0</v>
      </c>
      <c r="L22" s="33">
        <f t="shared" si="17"/>
        <v>0</v>
      </c>
      <c r="M22" s="33">
        <f t="shared" si="17"/>
        <v>0</v>
      </c>
      <c r="N22" s="33">
        <f t="shared" si="17"/>
        <v>0</v>
      </c>
      <c r="O22" s="33">
        <f t="shared" si="17"/>
        <v>0</v>
      </c>
      <c r="P22" s="33">
        <f t="shared" si="17"/>
        <v>0</v>
      </c>
      <c r="Q22" s="33">
        <f t="shared" si="17"/>
        <v>0</v>
      </c>
      <c r="R22" s="33">
        <f t="shared" si="17"/>
        <v>0</v>
      </c>
      <c r="S22" s="33">
        <f t="shared" si="1"/>
        <v>0</v>
      </c>
      <c r="T22" s="5"/>
    </row>
    <row r="23" spans="1:20" x14ac:dyDescent="0.25">
      <c r="A23" s="66"/>
      <c r="B23" s="66"/>
      <c r="C23" s="76"/>
      <c r="D23" s="77"/>
      <c r="E23" s="66"/>
      <c r="F23" s="66"/>
      <c r="G23" s="79"/>
      <c r="H23" s="31">
        <f t="shared" ref="H23:R23" si="18">IF($E23&lt;I$4,($G23*1.3)/4,0)</f>
        <v>0</v>
      </c>
      <c r="I23" s="33">
        <f t="shared" si="18"/>
        <v>0</v>
      </c>
      <c r="J23" s="33">
        <f t="shared" si="18"/>
        <v>0</v>
      </c>
      <c r="K23" s="33">
        <f t="shared" si="18"/>
        <v>0</v>
      </c>
      <c r="L23" s="33">
        <f t="shared" si="18"/>
        <v>0</v>
      </c>
      <c r="M23" s="33">
        <f t="shared" si="18"/>
        <v>0</v>
      </c>
      <c r="N23" s="33">
        <f t="shared" si="18"/>
        <v>0</v>
      </c>
      <c r="O23" s="33">
        <f t="shared" si="18"/>
        <v>0</v>
      </c>
      <c r="P23" s="33">
        <f t="shared" si="18"/>
        <v>0</v>
      </c>
      <c r="Q23" s="33">
        <f t="shared" si="18"/>
        <v>0</v>
      </c>
      <c r="R23" s="33">
        <f t="shared" si="18"/>
        <v>0</v>
      </c>
      <c r="S23" s="33">
        <f t="shared" si="1"/>
        <v>0</v>
      </c>
      <c r="T23" s="5"/>
    </row>
    <row r="24" spans="1:20" x14ac:dyDescent="0.25">
      <c r="A24" s="66"/>
      <c r="B24" s="66"/>
      <c r="C24" s="76"/>
      <c r="D24" s="77"/>
      <c r="E24" s="66"/>
      <c r="F24" s="66"/>
      <c r="G24" s="79"/>
      <c r="H24" s="31">
        <f t="shared" ref="H24:R24" si="19">IF($E24&lt;I$4,($G24*1.3)/4,0)</f>
        <v>0</v>
      </c>
      <c r="I24" s="33">
        <f t="shared" si="19"/>
        <v>0</v>
      </c>
      <c r="J24" s="33">
        <f t="shared" si="19"/>
        <v>0</v>
      </c>
      <c r="K24" s="33">
        <f t="shared" si="19"/>
        <v>0</v>
      </c>
      <c r="L24" s="33">
        <f t="shared" si="19"/>
        <v>0</v>
      </c>
      <c r="M24" s="33">
        <f t="shared" si="19"/>
        <v>0</v>
      </c>
      <c r="N24" s="33">
        <f t="shared" si="19"/>
        <v>0</v>
      </c>
      <c r="O24" s="33">
        <f t="shared" si="19"/>
        <v>0</v>
      </c>
      <c r="P24" s="33">
        <f t="shared" si="19"/>
        <v>0</v>
      </c>
      <c r="Q24" s="33">
        <f t="shared" si="19"/>
        <v>0</v>
      </c>
      <c r="R24" s="33">
        <f t="shared" si="19"/>
        <v>0</v>
      </c>
      <c r="S24" s="33">
        <f t="shared" si="1"/>
        <v>0</v>
      </c>
      <c r="T24" s="5"/>
    </row>
    <row r="25" spans="1:20" x14ac:dyDescent="0.25">
      <c r="A25" s="50"/>
      <c r="B25" s="50"/>
      <c r="C25" s="50"/>
      <c r="D25" s="50"/>
      <c r="E25" s="50"/>
      <c r="F25" s="50"/>
      <c r="G25" s="50"/>
      <c r="H25" s="81">
        <f t="shared" ref="H25:S25" si="20">SUM(H6:H24)</f>
        <v>0</v>
      </c>
      <c r="I25" s="82">
        <f t="shared" si="20"/>
        <v>0</v>
      </c>
      <c r="J25" s="82">
        <f t="shared" si="20"/>
        <v>0</v>
      </c>
      <c r="K25" s="82">
        <f t="shared" si="20"/>
        <v>0</v>
      </c>
      <c r="L25" s="82">
        <f t="shared" si="20"/>
        <v>0</v>
      </c>
      <c r="M25" s="82">
        <f t="shared" si="20"/>
        <v>0</v>
      </c>
      <c r="N25" s="82">
        <f t="shared" si="20"/>
        <v>0</v>
      </c>
      <c r="O25" s="82">
        <f t="shared" si="20"/>
        <v>0</v>
      </c>
      <c r="P25" s="82">
        <f t="shared" si="20"/>
        <v>0</v>
      </c>
      <c r="Q25" s="82">
        <f t="shared" si="20"/>
        <v>0</v>
      </c>
      <c r="R25" s="82">
        <f t="shared" si="20"/>
        <v>0</v>
      </c>
      <c r="S25" s="82">
        <f t="shared" si="20"/>
        <v>0</v>
      </c>
      <c r="T25" s="5"/>
    </row>
    <row r="26" spans="1:20" x14ac:dyDescent="0.25">
      <c r="B26" s="5"/>
      <c r="C26" s="5"/>
      <c r="D26" s="5"/>
      <c r="E26" s="5"/>
      <c r="F26" s="5"/>
      <c r="G26" s="5"/>
      <c r="H26" s="5"/>
      <c r="I26" s="5"/>
      <c r="J26" s="5"/>
      <c r="K26" s="5"/>
      <c r="L26" s="5"/>
      <c r="M26" s="5"/>
      <c r="N26" s="5"/>
      <c r="O26" s="5"/>
      <c r="P26" s="5"/>
      <c r="Q26" s="5"/>
      <c r="R26" s="5"/>
      <c r="S26" s="5"/>
    </row>
    <row r="27" spans="1:20" ht="18.75" x14ac:dyDescent="0.3">
      <c r="A27" s="7" t="s">
        <v>67</v>
      </c>
      <c r="B27" s="5"/>
      <c r="C27" s="5"/>
      <c r="D27" s="5"/>
      <c r="E27" s="5"/>
      <c r="F27" s="5"/>
      <c r="G27" s="5"/>
      <c r="H27" s="790">
        <v>2019</v>
      </c>
      <c r="I27" s="789"/>
      <c r="J27" s="787">
        <v>2020</v>
      </c>
      <c r="K27" s="788"/>
      <c r="L27" s="788"/>
      <c r="M27" s="789"/>
      <c r="N27" s="787">
        <v>2021</v>
      </c>
      <c r="O27" s="788"/>
      <c r="P27" s="788"/>
      <c r="Q27" s="789"/>
      <c r="R27" s="790">
        <v>2022</v>
      </c>
      <c r="S27" s="789"/>
    </row>
    <row r="28" spans="1:20" ht="30" x14ac:dyDescent="0.25">
      <c r="A28" s="54" t="s">
        <v>8</v>
      </c>
      <c r="B28" s="54" t="s">
        <v>11</v>
      </c>
      <c r="C28" s="54" t="s">
        <v>71</v>
      </c>
      <c r="D28" s="791" t="s">
        <v>72</v>
      </c>
      <c r="E28" s="792"/>
      <c r="F28" s="793"/>
      <c r="G28" s="55" t="s">
        <v>73</v>
      </c>
      <c r="H28" s="18" t="s">
        <v>10</v>
      </c>
      <c r="I28" s="20" t="s">
        <v>17</v>
      </c>
      <c r="J28" s="22" t="s">
        <v>18</v>
      </c>
      <c r="K28" s="18" t="s">
        <v>19</v>
      </c>
      <c r="L28" s="18" t="s">
        <v>10</v>
      </c>
      <c r="M28" s="20" t="s">
        <v>17</v>
      </c>
      <c r="N28" s="22" t="s">
        <v>18</v>
      </c>
      <c r="O28" s="18" t="s">
        <v>19</v>
      </c>
      <c r="P28" s="18" t="s">
        <v>10</v>
      </c>
      <c r="Q28" s="20" t="s">
        <v>17</v>
      </c>
      <c r="R28" s="22" t="s">
        <v>18</v>
      </c>
      <c r="S28" s="18" t="s">
        <v>19</v>
      </c>
    </row>
    <row r="29" spans="1:20" x14ac:dyDescent="0.25">
      <c r="A29" s="40"/>
      <c r="B29" s="40"/>
      <c r="C29" s="40"/>
      <c r="D29" s="794"/>
      <c r="E29" s="795"/>
      <c r="F29" s="796"/>
      <c r="G29" s="58"/>
      <c r="H29" s="56"/>
      <c r="I29" s="57"/>
      <c r="J29" s="57"/>
      <c r="K29" s="57"/>
      <c r="L29" s="57"/>
      <c r="M29" s="57"/>
      <c r="N29" s="57"/>
      <c r="O29" s="57"/>
      <c r="P29" s="57"/>
      <c r="Q29" s="57"/>
      <c r="R29" s="57"/>
      <c r="S29" s="57"/>
    </row>
    <row r="30" spans="1:20" x14ac:dyDescent="0.25">
      <c r="A30" s="40"/>
      <c r="B30" s="40"/>
      <c r="C30" s="40"/>
      <c r="D30" s="794"/>
      <c r="E30" s="795"/>
      <c r="F30" s="796"/>
      <c r="G30" s="58"/>
      <c r="H30" s="56"/>
      <c r="I30" s="57"/>
      <c r="J30" s="57"/>
      <c r="K30" s="57"/>
      <c r="L30" s="57"/>
      <c r="M30" s="57"/>
      <c r="N30" s="57"/>
      <c r="O30" s="57"/>
      <c r="P30" s="57"/>
      <c r="Q30" s="57"/>
      <c r="R30" s="57"/>
      <c r="S30" s="57"/>
    </row>
    <row r="31" spans="1:20" x14ac:dyDescent="0.25">
      <c r="A31" s="40"/>
      <c r="B31" s="40"/>
      <c r="C31" s="40"/>
      <c r="D31" s="794"/>
      <c r="E31" s="795"/>
      <c r="F31" s="796"/>
      <c r="G31" s="58"/>
      <c r="H31" s="56"/>
      <c r="I31" s="59"/>
      <c r="J31" s="57"/>
      <c r="K31" s="57"/>
      <c r="L31" s="57"/>
      <c r="M31" s="57"/>
      <c r="N31" s="57"/>
      <c r="O31" s="57"/>
      <c r="P31" s="57"/>
      <c r="Q31" s="57"/>
      <c r="R31" s="57"/>
      <c r="S31" s="57"/>
    </row>
    <row r="32" spans="1:20" x14ac:dyDescent="0.25">
      <c r="A32" s="40"/>
      <c r="B32" s="40"/>
      <c r="C32" s="40"/>
      <c r="D32" s="794"/>
      <c r="E32" s="795"/>
      <c r="F32" s="796"/>
      <c r="G32" s="58"/>
      <c r="H32" s="56"/>
      <c r="I32" s="59"/>
      <c r="J32" s="57"/>
      <c r="K32" s="57"/>
      <c r="L32" s="57"/>
      <c r="M32" s="57"/>
      <c r="N32" s="57"/>
      <c r="O32" s="57"/>
      <c r="P32" s="57"/>
      <c r="Q32" s="57"/>
      <c r="R32" s="57"/>
      <c r="S32" s="57"/>
    </row>
    <row r="33" spans="1:19" x14ac:dyDescent="0.25">
      <c r="A33" s="40"/>
      <c r="B33" s="40"/>
      <c r="C33" s="40"/>
      <c r="D33" s="794"/>
      <c r="E33" s="795"/>
      <c r="F33" s="796"/>
      <c r="G33" s="58"/>
      <c r="H33" s="56"/>
      <c r="I33" s="59"/>
      <c r="J33" s="57"/>
      <c r="K33" s="57"/>
      <c r="L33" s="57"/>
      <c r="M33" s="57"/>
      <c r="N33" s="57"/>
      <c r="O33" s="57"/>
      <c r="P33" s="57"/>
      <c r="Q33" s="57"/>
      <c r="R33" s="57"/>
      <c r="S33" s="57"/>
    </row>
    <row r="34" spans="1:19" x14ac:dyDescent="0.25">
      <c r="A34" s="40"/>
      <c r="B34" s="40"/>
      <c r="C34" s="40"/>
      <c r="D34" s="794"/>
      <c r="E34" s="795"/>
      <c r="F34" s="796"/>
      <c r="G34" s="58"/>
      <c r="H34" s="56"/>
      <c r="I34" s="59"/>
      <c r="J34" s="57"/>
      <c r="K34" s="57"/>
      <c r="L34" s="57"/>
      <c r="M34" s="57"/>
      <c r="N34" s="57"/>
      <c r="O34" s="57"/>
      <c r="P34" s="57"/>
      <c r="Q34" s="57"/>
      <c r="R34" s="57"/>
      <c r="S34" s="57"/>
    </row>
    <row r="35" spans="1:19" x14ac:dyDescent="0.25">
      <c r="A35" s="40"/>
      <c r="B35" s="40"/>
      <c r="C35" s="60"/>
      <c r="D35" s="794"/>
      <c r="E35" s="795"/>
      <c r="F35" s="796"/>
      <c r="G35" s="58"/>
      <c r="H35" s="63"/>
      <c r="I35" s="57"/>
      <c r="J35" s="57"/>
      <c r="K35" s="57"/>
      <c r="L35" s="57"/>
      <c r="M35" s="57"/>
      <c r="N35" s="57"/>
      <c r="O35" s="57"/>
      <c r="P35" s="57"/>
      <c r="Q35" s="57"/>
      <c r="R35" s="57"/>
      <c r="S35" s="57"/>
    </row>
    <row r="36" spans="1:19" x14ac:dyDescent="0.25">
      <c r="A36" s="40"/>
      <c r="B36" s="40"/>
      <c r="C36" s="60"/>
      <c r="D36" s="794"/>
      <c r="E36" s="795"/>
      <c r="F36" s="796"/>
      <c r="G36" s="58"/>
      <c r="H36" s="63"/>
      <c r="I36" s="57"/>
      <c r="J36" s="57"/>
      <c r="K36" s="57"/>
      <c r="L36" s="57"/>
      <c r="M36" s="57"/>
      <c r="N36" s="57"/>
      <c r="O36" s="57"/>
      <c r="P36" s="57"/>
      <c r="Q36" s="57"/>
      <c r="R36" s="57"/>
      <c r="S36" s="57"/>
    </row>
    <row r="37" spans="1:19" x14ac:dyDescent="0.25">
      <c r="A37" s="40"/>
      <c r="B37" s="40"/>
      <c r="C37" s="60"/>
      <c r="D37" s="794"/>
      <c r="E37" s="795"/>
      <c r="F37" s="796"/>
      <c r="G37" s="58"/>
      <c r="H37" s="63"/>
      <c r="I37" s="57"/>
      <c r="J37" s="57"/>
      <c r="K37" s="57"/>
      <c r="L37" s="57"/>
      <c r="M37" s="57"/>
      <c r="N37" s="57"/>
      <c r="O37" s="57"/>
      <c r="P37" s="57"/>
      <c r="Q37" s="57"/>
      <c r="R37" s="57"/>
      <c r="S37" s="57"/>
    </row>
    <row r="38" spans="1:19" x14ac:dyDescent="0.25">
      <c r="A38" s="40"/>
      <c r="B38" s="40"/>
      <c r="C38" s="40"/>
      <c r="D38" s="794"/>
      <c r="E38" s="795"/>
      <c r="F38" s="796"/>
      <c r="G38" s="58"/>
      <c r="H38" s="63"/>
      <c r="I38" s="57"/>
      <c r="J38" s="57"/>
      <c r="K38" s="57"/>
      <c r="L38" s="57"/>
      <c r="M38" s="57"/>
      <c r="N38" s="57"/>
      <c r="O38" s="57"/>
      <c r="P38" s="57"/>
      <c r="Q38" s="57"/>
      <c r="R38" s="57"/>
      <c r="S38" s="57"/>
    </row>
    <row r="39" spans="1:19" x14ac:dyDescent="0.25">
      <c r="A39" s="66"/>
      <c r="B39" s="40"/>
      <c r="C39" s="40"/>
      <c r="D39" s="794"/>
      <c r="E39" s="795"/>
      <c r="F39" s="796"/>
      <c r="G39" s="68"/>
      <c r="H39" s="69"/>
      <c r="I39" s="70"/>
      <c r="J39" s="70"/>
      <c r="K39" s="70"/>
      <c r="L39" s="70"/>
      <c r="M39" s="70"/>
      <c r="N39" s="70"/>
      <c r="O39" s="70"/>
      <c r="P39" s="70"/>
      <c r="Q39" s="70"/>
      <c r="R39" s="70"/>
      <c r="S39" s="70"/>
    </row>
    <row r="40" spans="1:19" x14ac:dyDescent="0.25">
      <c r="A40" s="66"/>
      <c r="B40" s="66"/>
      <c r="C40" s="66"/>
      <c r="D40" s="794"/>
      <c r="E40" s="795"/>
      <c r="F40" s="796"/>
      <c r="G40" s="72"/>
      <c r="H40" s="74"/>
      <c r="I40" s="75"/>
      <c r="J40" s="75"/>
      <c r="K40" s="75"/>
      <c r="L40" s="75"/>
      <c r="M40" s="75"/>
      <c r="N40" s="75"/>
      <c r="O40" s="75"/>
      <c r="P40" s="75"/>
      <c r="Q40" s="75"/>
      <c r="R40" s="75"/>
      <c r="S40" s="75"/>
    </row>
    <row r="41" spans="1:19" x14ac:dyDescent="0.25">
      <c r="G41" s="108">
        <f>SUM(G29:G40)</f>
        <v>0</v>
      </c>
      <c r="H41" s="109">
        <f t="shared" ref="H41:S41" si="21">SUM(H29:H34)</f>
        <v>0</v>
      </c>
      <c r="I41" s="108">
        <f t="shared" si="21"/>
        <v>0</v>
      </c>
      <c r="J41" s="108">
        <f t="shared" si="21"/>
        <v>0</v>
      </c>
      <c r="K41" s="108">
        <f t="shared" si="21"/>
        <v>0</v>
      </c>
      <c r="L41" s="108">
        <f t="shared" si="21"/>
        <v>0</v>
      </c>
      <c r="M41" s="108">
        <f t="shared" si="21"/>
        <v>0</v>
      </c>
      <c r="N41" s="108">
        <f t="shared" si="21"/>
        <v>0</v>
      </c>
      <c r="O41" s="108">
        <f t="shared" si="21"/>
        <v>0</v>
      </c>
      <c r="P41" s="108">
        <f t="shared" si="21"/>
        <v>0</v>
      </c>
      <c r="Q41" s="108">
        <f t="shared" si="21"/>
        <v>0</v>
      </c>
      <c r="R41" s="108">
        <f t="shared" si="21"/>
        <v>0</v>
      </c>
      <c r="S41" s="108">
        <f t="shared" si="21"/>
        <v>0</v>
      </c>
    </row>
  </sheetData>
  <mergeCells count="21">
    <mergeCell ref="D29:F29"/>
    <mergeCell ref="D28:F28"/>
    <mergeCell ref="D31:F31"/>
    <mergeCell ref="D30:F30"/>
    <mergeCell ref="D34:F34"/>
    <mergeCell ref="D33:F33"/>
    <mergeCell ref="D32:F32"/>
    <mergeCell ref="D35:F35"/>
    <mergeCell ref="D37:F37"/>
    <mergeCell ref="D36:F36"/>
    <mergeCell ref="D39:F39"/>
    <mergeCell ref="D40:F40"/>
    <mergeCell ref="D38:F38"/>
    <mergeCell ref="N3:Q3"/>
    <mergeCell ref="R3:S3"/>
    <mergeCell ref="J3:M3"/>
    <mergeCell ref="H3:I3"/>
    <mergeCell ref="J27:M27"/>
    <mergeCell ref="N27:Q27"/>
    <mergeCell ref="R27:S27"/>
    <mergeCell ref="H27:I27"/>
  </mergeCells>
  <pageMargins left="0.7" right="0.7" top="0.75" bottom="0.75" header="0" footer="0"/>
  <pageSetup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C1:O6"/>
  <sheetViews>
    <sheetView workbookViewId="0">
      <selection activeCell="F4" sqref="F4"/>
    </sheetView>
  </sheetViews>
  <sheetFormatPr defaultColWidth="14.42578125" defaultRowHeight="15" customHeight="1" x14ac:dyDescent="0.25"/>
  <cols>
    <col min="3" max="3" width="17.140625" customWidth="1"/>
  </cols>
  <sheetData>
    <row r="1" spans="3:15" ht="15" customHeight="1" x14ac:dyDescent="0.25">
      <c r="D1" s="805"/>
      <c r="E1" s="788"/>
      <c r="F1" s="788"/>
      <c r="G1" s="788"/>
      <c r="H1" s="789"/>
      <c r="K1" s="805"/>
      <c r="L1" s="788"/>
      <c r="M1" s="788"/>
      <c r="N1" s="788"/>
      <c r="O1" s="789"/>
    </row>
    <row r="2" spans="3:15" ht="15" customHeight="1" x14ac:dyDescent="0.25">
      <c r="D2" s="157">
        <v>2019</v>
      </c>
      <c r="E2" s="803">
        <v>2020</v>
      </c>
      <c r="F2" s="789"/>
      <c r="G2" s="804">
        <v>2021</v>
      </c>
      <c r="H2" s="789"/>
      <c r="K2" s="157">
        <v>2019</v>
      </c>
      <c r="L2" s="803">
        <v>2020</v>
      </c>
      <c r="M2" s="789"/>
      <c r="N2" s="804">
        <v>2021</v>
      </c>
      <c r="O2" s="789"/>
    </row>
    <row r="3" spans="3:15" ht="15" customHeight="1" x14ac:dyDescent="0.25">
      <c r="C3" s="158" t="s">
        <v>166</v>
      </c>
      <c r="D3" s="159" t="s">
        <v>167</v>
      </c>
      <c r="E3" s="159" t="s">
        <v>168</v>
      </c>
      <c r="F3" s="159" t="s">
        <v>169</v>
      </c>
      <c r="G3" s="159" t="s">
        <v>170</v>
      </c>
      <c r="H3" s="159" t="s">
        <v>169</v>
      </c>
      <c r="J3" s="158" t="s">
        <v>166</v>
      </c>
      <c r="K3" s="159" t="s">
        <v>167</v>
      </c>
      <c r="L3" s="159" t="s">
        <v>168</v>
      </c>
      <c r="M3" s="159" t="s">
        <v>169</v>
      </c>
      <c r="N3" s="159" t="s">
        <v>170</v>
      </c>
      <c r="O3" s="159" t="s">
        <v>169</v>
      </c>
    </row>
    <row r="4" spans="3:15" ht="15" customHeight="1" x14ac:dyDescent="0.25">
      <c r="C4" s="160" t="s">
        <v>171</v>
      </c>
      <c r="D4" s="161">
        <v>14</v>
      </c>
      <c r="E4" s="161">
        <v>14</v>
      </c>
      <c r="F4" s="161">
        <v>14</v>
      </c>
      <c r="G4" s="161">
        <v>14</v>
      </c>
      <c r="H4" s="161">
        <v>14</v>
      </c>
      <c r="J4" s="160" t="s">
        <v>171</v>
      </c>
      <c r="K4" s="161">
        <v>14</v>
      </c>
      <c r="L4" s="161">
        <v>14</v>
      </c>
      <c r="M4" s="161">
        <v>14</v>
      </c>
      <c r="N4" s="161">
        <v>14</v>
      </c>
      <c r="O4" s="161">
        <v>14</v>
      </c>
    </row>
    <row r="5" spans="3:15" ht="15" customHeight="1" x14ac:dyDescent="0.25">
      <c r="C5" s="160" t="s">
        <v>172</v>
      </c>
      <c r="D5" s="161">
        <v>6</v>
      </c>
      <c r="E5" s="161">
        <v>12</v>
      </c>
      <c r="F5" s="161">
        <v>14</v>
      </c>
      <c r="G5" s="161">
        <v>14</v>
      </c>
      <c r="H5" s="161">
        <v>14</v>
      </c>
      <c r="J5" s="160" t="s">
        <v>173</v>
      </c>
      <c r="K5" s="161">
        <v>6</v>
      </c>
      <c r="L5" s="161">
        <v>12</v>
      </c>
      <c r="M5" s="161">
        <v>14</v>
      </c>
      <c r="N5" s="161">
        <v>14</v>
      </c>
      <c r="O5" s="161">
        <v>14</v>
      </c>
    </row>
    <row r="6" spans="3:15" ht="15" customHeight="1" x14ac:dyDescent="0.25">
      <c r="C6" s="158" t="s">
        <v>174</v>
      </c>
      <c r="D6" s="162">
        <f t="shared" ref="D6:H6" si="0">SUM(D4:D5)</f>
        <v>20</v>
      </c>
      <c r="E6" s="162">
        <f t="shared" si="0"/>
        <v>26</v>
      </c>
      <c r="F6" s="162">
        <f t="shared" si="0"/>
        <v>28</v>
      </c>
      <c r="G6" s="162">
        <f t="shared" si="0"/>
        <v>28</v>
      </c>
      <c r="H6" s="162">
        <f t="shared" si="0"/>
        <v>28</v>
      </c>
      <c r="J6" s="158" t="s">
        <v>174</v>
      </c>
      <c r="K6" s="162">
        <f t="shared" ref="K6:O6" si="1">SUM(K4:K5)</f>
        <v>20</v>
      </c>
      <c r="L6" s="162">
        <f t="shared" si="1"/>
        <v>26</v>
      </c>
      <c r="M6" s="162">
        <f t="shared" si="1"/>
        <v>28</v>
      </c>
      <c r="N6" s="162">
        <f t="shared" si="1"/>
        <v>28</v>
      </c>
      <c r="O6" s="162">
        <f t="shared" si="1"/>
        <v>28</v>
      </c>
    </row>
  </sheetData>
  <mergeCells count="6">
    <mergeCell ref="E2:F2"/>
    <mergeCell ref="G2:H2"/>
    <mergeCell ref="D1:H1"/>
    <mergeCell ref="L2:M2"/>
    <mergeCell ref="N2:O2"/>
    <mergeCell ref="K1:O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Ats Slide</vt:lpstr>
      <vt:lpstr>Financial model</vt:lpstr>
      <vt:lpstr>Recoverable units</vt:lpstr>
      <vt:lpstr>Stamp duty</vt:lpstr>
      <vt:lpstr>2) SW Eng</vt:lpstr>
      <vt:lpstr>4) Accounting</vt:lpstr>
      <vt:lpstr>8) Facilities</vt:lpstr>
      <vt:lpstr>11) IT-Infrastructure</vt:lpstr>
      <vt:lpstr>13) IT- Security</vt:lpstr>
      <vt:lpstr>12) IT- Apps</vt:lpstr>
      <vt:lpstr>14) Operations</vt:lpstr>
      <vt:lpstr>Summary cost inputs</vt:lpstr>
      <vt:lpstr>I. TECH</vt:lpstr>
      <vt:lpstr>II NON-TECH</vt:lpstr>
      <vt:lpstr>1) ProductUX</vt:lpstr>
      <vt:lpstr>3) HW Eng</vt:lpstr>
      <vt:lpstr>5) Tax &amp; Treasury</vt:lpstr>
      <vt:lpstr>6) Legal</vt:lpstr>
      <vt:lpstr>7) HR</vt:lpstr>
      <vt:lpstr>9) Marketing</vt:lpstr>
      <vt:lpstr>10) Int'l S&amp;M</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Butler</dc:creator>
  <cp:lastModifiedBy>John Shay</cp:lastModifiedBy>
  <dcterms:created xsi:type="dcterms:W3CDTF">2019-10-01T13:51:07Z</dcterms:created>
  <dcterms:modified xsi:type="dcterms:W3CDTF">2022-02-01T21:19:41Z</dcterms:modified>
</cp:coreProperties>
</file>